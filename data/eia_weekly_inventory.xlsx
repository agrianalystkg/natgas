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ther_commodities\gas\data\eia_weekly_inventory\"/>
    </mc:Choice>
  </mc:AlternateContent>
  <xr:revisionPtr revIDLastSave="0" documentId="13_ncr:1_{BDCBBB42-F4EE-48C8-9AE9-8738B7039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5" i="1" l="1"/>
  <c r="L115" i="1"/>
  <c r="J115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J61" i="1"/>
  <c r="H62" i="1"/>
  <c r="J60" i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J7" i="1" a="1"/>
  <c r="K7" i="1" a="1"/>
  <c r="L7" i="1" a="1"/>
  <c r="M7" i="1" a="1"/>
  <c r="N7" i="1" a="1"/>
  <c r="O7" i="1" a="1"/>
  <c r="P7" i="1" a="1"/>
  <c r="Q7" i="1" a="1"/>
  <c r="R7" i="1" a="1"/>
  <c r="S7" i="1" a="1"/>
  <c r="T7" i="1" a="1"/>
  <c r="U7" i="1" a="1"/>
  <c r="V7" i="1" a="1"/>
  <c r="W7" i="1" a="1"/>
  <c r="X7" i="1" a="1"/>
  <c r="Y7" i="1" a="1"/>
  <c r="Z7" i="1" a="1"/>
  <c r="AA7" i="1" a="1"/>
  <c r="AB7" i="1" a="1"/>
  <c r="AC7" i="1" a="1"/>
  <c r="AD7" i="1" a="1"/>
  <c r="AE7" i="1" a="1"/>
  <c r="AF7" i="1" a="1"/>
  <c r="AG7" i="1" a="1"/>
  <c r="AH7" i="1" a="1"/>
  <c r="AI7" i="1" a="1"/>
  <c r="AJ7" i="1" a="1"/>
  <c r="AK7" i="1" a="1"/>
  <c r="AL7" i="1" a="1"/>
  <c r="AM7" i="1" a="1"/>
  <c r="J8" i="1" a="1"/>
  <c r="K8" i="1" a="1"/>
  <c r="L8" i="1" a="1"/>
  <c r="M8" i="1" a="1"/>
  <c r="N8" i="1" a="1"/>
  <c r="O8" i="1" a="1"/>
  <c r="P8" i="1" a="1"/>
  <c r="Q8" i="1" a="1"/>
  <c r="R8" i="1" a="1"/>
  <c r="S8" i="1" a="1"/>
  <c r="T8" i="1" a="1"/>
  <c r="U8" i="1" a="1"/>
  <c r="V8" i="1" a="1"/>
  <c r="W8" i="1" a="1"/>
  <c r="X8" i="1" a="1"/>
  <c r="Y8" i="1" a="1"/>
  <c r="Z8" i="1" a="1"/>
  <c r="AA8" i="1" a="1"/>
  <c r="AB8" i="1" a="1"/>
  <c r="AC8" i="1" a="1"/>
  <c r="AD8" i="1" a="1"/>
  <c r="AE8" i="1" a="1"/>
  <c r="AF8" i="1" a="1"/>
  <c r="AG8" i="1" a="1"/>
  <c r="AH8" i="1" a="1"/>
  <c r="AI8" i="1" a="1"/>
  <c r="AJ8" i="1" a="1"/>
  <c r="AK8" i="1" a="1"/>
  <c r="AL8" i="1" a="1"/>
  <c r="AM8" i="1" a="1"/>
  <c r="J9" i="1" a="1"/>
  <c r="K9" i="1" a="1"/>
  <c r="L9" i="1" a="1"/>
  <c r="M9" i="1" a="1"/>
  <c r="N9" i="1" a="1"/>
  <c r="O9" i="1" a="1"/>
  <c r="P9" i="1" a="1"/>
  <c r="Q9" i="1" a="1"/>
  <c r="R9" i="1" a="1"/>
  <c r="S9" i="1" a="1"/>
  <c r="T9" i="1" a="1"/>
  <c r="U9" i="1" a="1"/>
  <c r="V9" i="1" a="1"/>
  <c r="W9" i="1" a="1"/>
  <c r="X9" i="1" a="1"/>
  <c r="Y9" i="1" a="1"/>
  <c r="Z9" i="1" a="1"/>
  <c r="AA9" i="1" a="1"/>
  <c r="AB9" i="1" a="1"/>
  <c r="AC9" i="1" a="1"/>
  <c r="AD9" i="1" a="1"/>
  <c r="AE9" i="1" a="1"/>
  <c r="AF9" i="1" a="1"/>
  <c r="AG9" i="1" a="1"/>
  <c r="AH9" i="1" a="1"/>
  <c r="AI9" i="1" a="1"/>
  <c r="AJ9" i="1" a="1"/>
  <c r="AK9" i="1" a="1"/>
  <c r="AL9" i="1" a="1"/>
  <c r="AM9" i="1" a="1"/>
  <c r="J10" i="1" a="1"/>
  <c r="K10" i="1" a="1"/>
  <c r="L10" i="1" a="1"/>
  <c r="M10" i="1" a="1"/>
  <c r="N10" i="1" a="1"/>
  <c r="O10" i="1" a="1"/>
  <c r="P10" i="1" a="1"/>
  <c r="Q10" i="1" a="1"/>
  <c r="R10" i="1" a="1"/>
  <c r="S10" i="1" a="1"/>
  <c r="T10" i="1" a="1"/>
  <c r="U10" i="1" a="1"/>
  <c r="V10" i="1" a="1"/>
  <c r="W10" i="1" a="1"/>
  <c r="X10" i="1" a="1"/>
  <c r="Y10" i="1" a="1"/>
  <c r="Z10" i="1" a="1"/>
  <c r="AA10" i="1" a="1"/>
  <c r="AB10" i="1" a="1"/>
  <c r="AC10" i="1" a="1"/>
  <c r="AD10" i="1" a="1"/>
  <c r="AE10" i="1" a="1"/>
  <c r="AF10" i="1" a="1"/>
  <c r="AG10" i="1" a="1"/>
  <c r="AH10" i="1" a="1"/>
  <c r="AI10" i="1" a="1"/>
  <c r="AJ10" i="1" a="1"/>
  <c r="AK10" i="1" a="1"/>
  <c r="AL10" i="1" a="1"/>
  <c r="AM10" i="1" a="1"/>
  <c r="J11" i="1" a="1"/>
  <c r="K11" i="1" a="1"/>
  <c r="L11" i="1" a="1"/>
  <c r="M11" i="1" a="1"/>
  <c r="N11" i="1" a="1"/>
  <c r="O11" i="1" a="1"/>
  <c r="P11" i="1" a="1"/>
  <c r="Q11" i="1" a="1"/>
  <c r="R11" i="1" a="1"/>
  <c r="S11" i="1" a="1"/>
  <c r="T11" i="1" a="1"/>
  <c r="U11" i="1" a="1"/>
  <c r="V11" i="1" a="1"/>
  <c r="W11" i="1" a="1"/>
  <c r="X11" i="1" a="1"/>
  <c r="Y11" i="1" a="1"/>
  <c r="Z11" i="1" a="1"/>
  <c r="AA11" i="1" a="1"/>
  <c r="AB11" i="1" a="1"/>
  <c r="AC11" i="1" a="1"/>
  <c r="AD11" i="1" a="1"/>
  <c r="AE11" i="1" a="1"/>
  <c r="AF11" i="1" a="1"/>
  <c r="AG11" i="1" a="1"/>
  <c r="AH11" i="1" a="1"/>
  <c r="AI11" i="1" a="1"/>
  <c r="AJ11" i="1" a="1"/>
  <c r="AK11" i="1" a="1"/>
  <c r="AL11" i="1" a="1"/>
  <c r="AM11" i="1" a="1"/>
  <c r="J12" i="1" a="1"/>
  <c r="K12" i="1" a="1"/>
  <c r="L12" i="1" a="1"/>
  <c r="M12" i="1" a="1"/>
  <c r="N12" i="1" a="1"/>
  <c r="O12" i="1" a="1"/>
  <c r="P12" i="1" a="1"/>
  <c r="Q12" i="1" a="1"/>
  <c r="R12" i="1" a="1"/>
  <c r="S12" i="1" a="1"/>
  <c r="T12" i="1" a="1"/>
  <c r="U12" i="1" a="1"/>
  <c r="V12" i="1" a="1"/>
  <c r="W12" i="1" a="1"/>
  <c r="X12" i="1" a="1"/>
  <c r="Y12" i="1" a="1"/>
  <c r="Z12" i="1" a="1"/>
  <c r="AA12" i="1" a="1"/>
  <c r="AB12" i="1" a="1"/>
  <c r="AC12" i="1" a="1"/>
  <c r="AD12" i="1" a="1"/>
  <c r="AE12" i="1" a="1"/>
  <c r="AF12" i="1" a="1"/>
  <c r="AG12" i="1" a="1"/>
  <c r="AH12" i="1" a="1"/>
  <c r="AI12" i="1" a="1"/>
  <c r="AJ12" i="1" a="1"/>
  <c r="AK12" i="1" a="1"/>
  <c r="AL12" i="1" a="1"/>
  <c r="AM12" i="1" a="1"/>
  <c r="J13" i="1" a="1"/>
  <c r="K13" i="1" a="1"/>
  <c r="L13" i="1" a="1"/>
  <c r="M13" i="1" a="1"/>
  <c r="N13" i="1" a="1"/>
  <c r="O13" i="1" a="1"/>
  <c r="P13" i="1" a="1"/>
  <c r="Q13" i="1" a="1"/>
  <c r="R13" i="1" a="1"/>
  <c r="S13" i="1" a="1"/>
  <c r="T13" i="1" a="1"/>
  <c r="U13" i="1" a="1"/>
  <c r="V13" i="1" a="1"/>
  <c r="W13" i="1" a="1"/>
  <c r="X13" i="1" a="1"/>
  <c r="Y13" i="1" a="1"/>
  <c r="Z13" i="1" a="1"/>
  <c r="AA13" i="1" a="1"/>
  <c r="AB13" i="1" a="1"/>
  <c r="AC13" i="1" a="1"/>
  <c r="AD13" i="1" a="1"/>
  <c r="AE13" i="1" a="1"/>
  <c r="AF13" i="1" a="1"/>
  <c r="AG13" i="1" a="1"/>
  <c r="AH13" i="1" a="1"/>
  <c r="AI13" i="1" a="1"/>
  <c r="AJ13" i="1" a="1"/>
  <c r="AK13" i="1" a="1"/>
  <c r="AL13" i="1" a="1"/>
  <c r="AM13" i="1" a="1"/>
  <c r="J14" i="1" a="1"/>
  <c r="K14" i="1" a="1"/>
  <c r="L14" i="1" a="1"/>
  <c r="M14" i="1" a="1"/>
  <c r="N14" i="1" a="1"/>
  <c r="O14" i="1" a="1"/>
  <c r="P14" i="1" a="1"/>
  <c r="Q14" i="1" a="1"/>
  <c r="R14" i="1" a="1"/>
  <c r="S14" i="1" a="1"/>
  <c r="T14" i="1" a="1"/>
  <c r="U14" i="1" a="1"/>
  <c r="V14" i="1" a="1"/>
  <c r="W14" i="1" a="1"/>
  <c r="X14" i="1" a="1"/>
  <c r="Y14" i="1" a="1"/>
  <c r="Z14" i="1" a="1"/>
  <c r="AA14" i="1" a="1"/>
  <c r="AB14" i="1" a="1"/>
  <c r="AC14" i="1" a="1"/>
  <c r="AD14" i="1" a="1"/>
  <c r="AE14" i="1" a="1"/>
  <c r="AF14" i="1" a="1"/>
  <c r="AG14" i="1" a="1"/>
  <c r="AH14" i="1" a="1"/>
  <c r="AI14" i="1" a="1"/>
  <c r="AJ14" i="1" a="1"/>
  <c r="AK14" i="1" a="1"/>
  <c r="AL14" i="1" a="1"/>
  <c r="AM14" i="1" a="1"/>
  <c r="J15" i="1" a="1"/>
  <c r="K15" i="1" a="1"/>
  <c r="L15" i="1" a="1"/>
  <c r="M15" i="1" a="1"/>
  <c r="N15" i="1" a="1"/>
  <c r="O15" i="1" a="1"/>
  <c r="P15" i="1" a="1"/>
  <c r="Q15" i="1" a="1"/>
  <c r="R15" i="1" a="1"/>
  <c r="S15" i="1" a="1"/>
  <c r="T15" i="1" a="1"/>
  <c r="U15" i="1" a="1"/>
  <c r="V15" i="1" a="1"/>
  <c r="W15" i="1" a="1"/>
  <c r="X15" i="1" a="1"/>
  <c r="Y15" i="1" a="1"/>
  <c r="Z15" i="1" a="1"/>
  <c r="AA15" i="1" a="1"/>
  <c r="AB15" i="1" a="1"/>
  <c r="AC15" i="1" a="1"/>
  <c r="AD15" i="1" a="1"/>
  <c r="AE15" i="1" a="1"/>
  <c r="AF15" i="1" a="1"/>
  <c r="AG15" i="1" a="1"/>
  <c r="AH15" i="1" a="1"/>
  <c r="AI15" i="1" a="1"/>
  <c r="AJ15" i="1" a="1"/>
  <c r="AK15" i="1" a="1"/>
  <c r="AL15" i="1" a="1"/>
  <c r="AM15" i="1" a="1"/>
  <c r="J16" i="1" a="1"/>
  <c r="K16" i="1" a="1"/>
  <c r="L16" i="1" a="1"/>
  <c r="M16" i="1" a="1"/>
  <c r="N16" i="1" a="1"/>
  <c r="O16" i="1" a="1"/>
  <c r="P16" i="1" a="1"/>
  <c r="Q16" i="1" a="1"/>
  <c r="R16" i="1" a="1"/>
  <c r="S16" i="1" a="1"/>
  <c r="T16" i="1" a="1"/>
  <c r="U16" i="1" a="1"/>
  <c r="V16" i="1" a="1"/>
  <c r="W16" i="1" a="1"/>
  <c r="X16" i="1" a="1"/>
  <c r="Y16" i="1" a="1"/>
  <c r="Z16" i="1" a="1"/>
  <c r="AA16" i="1" a="1"/>
  <c r="AB16" i="1" a="1"/>
  <c r="AC16" i="1" a="1"/>
  <c r="AD16" i="1" a="1"/>
  <c r="AE16" i="1" a="1"/>
  <c r="AF16" i="1" a="1"/>
  <c r="AG16" i="1" a="1"/>
  <c r="AH16" i="1" a="1"/>
  <c r="AI16" i="1" a="1"/>
  <c r="AJ16" i="1" a="1"/>
  <c r="AK16" i="1" a="1"/>
  <c r="AL16" i="1" a="1"/>
  <c r="AM16" i="1" a="1"/>
  <c r="J17" i="1" a="1"/>
  <c r="K17" i="1" a="1"/>
  <c r="L17" i="1" a="1"/>
  <c r="M17" i="1" a="1"/>
  <c r="N17" i="1" a="1"/>
  <c r="O17" i="1" a="1"/>
  <c r="P17" i="1" a="1"/>
  <c r="Q17" i="1" a="1"/>
  <c r="R17" i="1" a="1"/>
  <c r="S17" i="1" a="1"/>
  <c r="T17" i="1" a="1"/>
  <c r="U17" i="1" a="1"/>
  <c r="V17" i="1" a="1"/>
  <c r="W17" i="1" a="1"/>
  <c r="X17" i="1" a="1"/>
  <c r="Y17" i="1" a="1"/>
  <c r="Z17" i="1" a="1"/>
  <c r="AA17" i="1" a="1"/>
  <c r="AB17" i="1" a="1"/>
  <c r="AC17" i="1" a="1"/>
  <c r="AD17" i="1" a="1"/>
  <c r="AE17" i="1" a="1"/>
  <c r="AF17" i="1" a="1"/>
  <c r="AG17" i="1" a="1"/>
  <c r="AH17" i="1" a="1"/>
  <c r="AI17" i="1" a="1"/>
  <c r="AJ17" i="1" a="1"/>
  <c r="AK17" i="1" a="1"/>
  <c r="AL17" i="1" a="1"/>
  <c r="AM17" i="1" a="1"/>
  <c r="J18" i="1" a="1"/>
  <c r="K18" i="1" a="1"/>
  <c r="L18" i="1" a="1"/>
  <c r="M18" i="1" a="1"/>
  <c r="N18" i="1" a="1"/>
  <c r="O18" i="1" a="1"/>
  <c r="P18" i="1" a="1"/>
  <c r="Q18" i="1" a="1"/>
  <c r="R18" i="1" a="1"/>
  <c r="S18" i="1" a="1"/>
  <c r="T18" i="1" a="1"/>
  <c r="U18" i="1" a="1"/>
  <c r="V18" i="1" a="1"/>
  <c r="W18" i="1" a="1"/>
  <c r="X18" i="1" a="1"/>
  <c r="Y18" i="1" a="1"/>
  <c r="Z18" i="1" a="1"/>
  <c r="AA18" i="1" a="1"/>
  <c r="AB18" i="1" a="1"/>
  <c r="AC18" i="1" a="1"/>
  <c r="AD18" i="1" a="1"/>
  <c r="AE18" i="1" a="1"/>
  <c r="AF18" i="1" a="1"/>
  <c r="AG18" i="1" a="1"/>
  <c r="AH18" i="1" a="1"/>
  <c r="AI18" i="1" a="1"/>
  <c r="AJ18" i="1" a="1"/>
  <c r="AK18" i="1" a="1"/>
  <c r="AL18" i="1" a="1"/>
  <c r="AM18" i="1" a="1"/>
  <c r="J19" i="1" a="1"/>
  <c r="K19" i="1" a="1"/>
  <c r="L19" i="1" a="1"/>
  <c r="M19" i="1" a="1"/>
  <c r="N19" i="1" a="1"/>
  <c r="O19" i="1" a="1"/>
  <c r="P19" i="1" a="1"/>
  <c r="Q19" i="1" a="1"/>
  <c r="R19" i="1" a="1"/>
  <c r="S19" i="1" a="1"/>
  <c r="T19" i="1" a="1"/>
  <c r="U19" i="1" a="1"/>
  <c r="V19" i="1" a="1"/>
  <c r="W19" i="1" a="1"/>
  <c r="X19" i="1" a="1"/>
  <c r="Y19" i="1" a="1"/>
  <c r="Z19" i="1" a="1"/>
  <c r="AA19" i="1" a="1"/>
  <c r="AB19" i="1" a="1"/>
  <c r="AC19" i="1" a="1"/>
  <c r="AD19" i="1" a="1"/>
  <c r="AE19" i="1" a="1"/>
  <c r="AF19" i="1" a="1"/>
  <c r="AG19" i="1" a="1"/>
  <c r="AH19" i="1" a="1"/>
  <c r="AI19" i="1" a="1"/>
  <c r="AJ19" i="1" a="1"/>
  <c r="AK19" i="1" a="1"/>
  <c r="AL19" i="1" a="1"/>
  <c r="AM19" i="1" a="1"/>
  <c r="J20" i="1" a="1"/>
  <c r="K20" i="1" a="1"/>
  <c r="L20" i="1" a="1"/>
  <c r="M20" i="1" a="1"/>
  <c r="N20" i="1" a="1"/>
  <c r="O20" i="1" a="1"/>
  <c r="P20" i="1" a="1"/>
  <c r="Q20" i="1" a="1"/>
  <c r="R20" i="1" a="1"/>
  <c r="S20" i="1" a="1"/>
  <c r="T20" i="1" a="1"/>
  <c r="U20" i="1" a="1"/>
  <c r="V20" i="1" a="1"/>
  <c r="W20" i="1" a="1"/>
  <c r="X20" i="1" a="1"/>
  <c r="Y20" i="1" a="1"/>
  <c r="Z20" i="1" a="1"/>
  <c r="AA20" i="1" a="1"/>
  <c r="AB20" i="1" a="1"/>
  <c r="AC20" i="1" a="1"/>
  <c r="AD20" i="1" a="1"/>
  <c r="AE20" i="1" a="1"/>
  <c r="AF20" i="1" a="1"/>
  <c r="AG20" i="1" a="1"/>
  <c r="AH20" i="1" a="1"/>
  <c r="AI20" i="1" a="1"/>
  <c r="AJ20" i="1" a="1"/>
  <c r="AK20" i="1" a="1"/>
  <c r="AL20" i="1" a="1"/>
  <c r="AM20" i="1" a="1"/>
  <c r="J21" i="1" a="1"/>
  <c r="K21" i="1" a="1"/>
  <c r="L21" i="1" a="1"/>
  <c r="M21" i="1" a="1"/>
  <c r="N21" i="1" a="1"/>
  <c r="O21" i="1" a="1"/>
  <c r="P21" i="1" a="1"/>
  <c r="Q21" i="1" a="1"/>
  <c r="R21" i="1" a="1"/>
  <c r="S21" i="1" a="1"/>
  <c r="T21" i="1" a="1"/>
  <c r="U21" i="1" a="1"/>
  <c r="V21" i="1" a="1"/>
  <c r="W21" i="1" a="1"/>
  <c r="X21" i="1" a="1"/>
  <c r="Y21" i="1" a="1"/>
  <c r="Z21" i="1" a="1"/>
  <c r="AA21" i="1" a="1"/>
  <c r="AB21" i="1" a="1"/>
  <c r="AC21" i="1" a="1"/>
  <c r="AD21" i="1" a="1"/>
  <c r="AE21" i="1" a="1"/>
  <c r="AF21" i="1" a="1"/>
  <c r="AG21" i="1" a="1"/>
  <c r="AH21" i="1" a="1"/>
  <c r="AI21" i="1" a="1"/>
  <c r="AJ21" i="1" a="1"/>
  <c r="AK21" i="1" a="1"/>
  <c r="AL21" i="1" a="1"/>
  <c r="AM21" i="1" a="1"/>
  <c r="J22" i="1" a="1"/>
  <c r="K22" i="1" a="1"/>
  <c r="L22" i="1" a="1"/>
  <c r="M22" i="1" a="1"/>
  <c r="N22" i="1" a="1"/>
  <c r="O22" i="1" a="1"/>
  <c r="P22" i="1" a="1"/>
  <c r="Q22" i="1" a="1"/>
  <c r="R22" i="1" a="1"/>
  <c r="S22" i="1" a="1"/>
  <c r="T22" i="1" a="1"/>
  <c r="U22" i="1" a="1"/>
  <c r="V22" i="1" a="1"/>
  <c r="W22" i="1" a="1"/>
  <c r="X22" i="1" a="1"/>
  <c r="Y22" i="1" a="1"/>
  <c r="Z22" i="1" a="1"/>
  <c r="AA22" i="1" a="1"/>
  <c r="AB22" i="1" a="1"/>
  <c r="AC22" i="1" a="1"/>
  <c r="AD22" i="1" a="1"/>
  <c r="AE22" i="1" a="1"/>
  <c r="AF22" i="1" a="1"/>
  <c r="AG22" i="1" a="1"/>
  <c r="AH22" i="1" a="1"/>
  <c r="AI22" i="1" a="1"/>
  <c r="AJ22" i="1" a="1"/>
  <c r="AK22" i="1" a="1"/>
  <c r="AL22" i="1" a="1"/>
  <c r="AM22" i="1" a="1"/>
  <c r="J23" i="1" a="1"/>
  <c r="K23" i="1" a="1"/>
  <c r="L23" i="1" a="1"/>
  <c r="M23" i="1" a="1"/>
  <c r="N23" i="1" a="1"/>
  <c r="O23" i="1" a="1"/>
  <c r="P23" i="1" a="1"/>
  <c r="Q23" i="1" a="1"/>
  <c r="R23" i="1" a="1"/>
  <c r="S23" i="1" a="1"/>
  <c r="T23" i="1" a="1"/>
  <c r="U23" i="1" a="1"/>
  <c r="V23" i="1" a="1"/>
  <c r="W23" i="1" a="1"/>
  <c r="X23" i="1" a="1"/>
  <c r="Y23" i="1" a="1"/>
  <c r="Z23" i="1" a="1"/>
  <c r="AA23" i="1" a="1"/>
  <c r="AB23" i="1" a="1"/>
  <c r="AC23" i="1" a="1"/>
  <c r="AD23" i="1" a="1"/>
  <c r="AE23" i="1" a="1"/>
  <c r="AF23" i="1" a="1"/>
  <c r="AG23" i="1" a="1"/>
  <c r="AH23" i="1" a="1"/>
  <c r="AI23" i="1" a="1"/>
  <c r="AJ23" i="1" a="1"/>
  <c r="AK23" i="1" a="1"/>
  <c r="AL23" i="1" a="1"/>
  <c r="AM23" i="1" a="1"/>
  <c r="J24" i="1" a="1"/>
  <c r="K24" i="1" a="1"/>
  <c r="L24" i="1" a="1"/>
  <c r="M24" i="1" a="1"/>
  <c r="N24" i="1" a="1"/>
  <c r="O24" i="1" a="1"/>
  <c r="P24" i="1" a="1"/>
  <c r="Q24" i="1" a="1"/>
  <c r="R24" i="1" a="1"/>
  <c r="S24" i="1" a="1"/>
  <c r="T24" i="1" a="1"/>
  <c r="U24" i="1" a="1"/>
  <c r="V24" i="1" a="1"/>
  <c r="W24" i="1" a="1"/>
  <c r="X24" i="1" a="1"/>
  <c r="Y24" i="1" a="1"/>
  <c r="Z24" i="1" a="1"/>
  <c r="AA24" i="1" a="1"/>
  <c r="AB24" i="1" a="1"/>
  <c r="AC24" i="1" a="1"/>
  <c r="AD24" i="1" a="1"/>
  <c r="AE24" i="1" a="1"/>
  <c r="AF24" i="1" a="1"/>
  <c r="AG24" i="1" a="1"/>
  <c r="AH24" i="1" a="1"/>
  <c r="AI24" i="1" a="1"/>
  <c r="AJ24" i="1" a="1"/>
  <c r="AK24" i="1" a="1"/>
  <c r="AL24" i="1" a="1"/>
  <c r="AM24" i="1" a="1"/>
  <c r="J25" i="1" a="1"/>
  <c r="K25" i="1" a="1"/>
  <c r="L25" i="1" a="1"/>
  <c r="M25" i="1" a="1"/>
  <c r="N25" i="1" a="1"/>
  <c r="O25" i="1" a="1"/>
  <c r="P25" i="1" a="1"/>
  <c r="Q25" i="1" a="1"/>
  <c r="R25" i="1" a="1"/>
  <c r="S25" i="1" a="1"/>
  <c r="T25" i="1" a="1"/>
  <c r="U25" i="1" a="1"/>
  <c r="V25" i="1" a="1"/>
  <c r="W25" i="1" a="1"/>
  <c r="X25" i="1" a="1"/>
  <c r="Y25" i="1" a="1"/>
  <c r="Z25" i="1" a="1"/>
  <c r="AA25" i="1" a="1"/>
  <c r="AB25" i="1" a="1"/>
  <c r="AC25" i="1" a="1"/>
  <c r="AD25" i="1" a="1"/>
  <c r="AE25" i="1" a="1"/>
  <c r="AF25" i="1" a="1"/>
  <c r="AG25" i="1" a="1"/>
  <c r="AH25" i="1" a="1"/>
  <c r="AI25" i="1" a="1"/>
  <c r="AJ25" i="1" a="1"/>
  <c r="AK25" i="1" a="1"/>
  <c r="AL25" i="1" a="1"/>
  <c r="AM25" i="1" a="1"/>
  <c r="J26" i="1" a="1"/>
  <c r="K26" i="1" a="1"/>
  <c r="L26" i="1" a="1"/>
  <c r="M26" i="1" a="1"/>
  <c r="N26" i="1" a="1"/>
  <c r="O26" i="1" a="1"/>
  <c r="P26" i="1" a="1"/>
  <c r="Q26" i="1" a="1"/>
  <c r="R26" i="1" a="1"/>
  <c r="S26" i="1" a="1"/>
  <c r="T26" i="1" a="1"/>
  <c r="U26" i="1" a="1"/>
  <c r="V26" i="1" a="1"/>
  <c r="W26" i="1" a="1"/>
  <c r="X26" i="1" a="1"/>
  <c r="Y26" i="1" a="1"/>
  <c r="Z26" i="1" a="1"/>
  <c r="AA26" i="1" a="1"/>
  <c r="AB26" i="1" a="1"/>
  <c r="AC26" i="1" a="1"/>
  <c r="AD26" i="1" a="1"/>
  <c r="AE26" i="1" a="1"/>
  <c r="AF26" i="1" a="1"/>
  <c r="AG26" i="1" a="1"/>
  <c r="AH26" i="1" a="1"/>
  <c r="AI26" i="1" a="1"/>
  <c r="AJ26" i="1" a="1"/>
  <c r="AK26" i="1" a="1"/>
  <c r="AL26" i="1" a="1"/>
  <c r="AM26" i="1" a="1"/>
  <c r="J27" i="1" a="1"/>
  <c r="K27" i="1" a="1"/>
  <c r="L27" i="1" a="1"/>
  <c r="M27" i="1" a="1"/>
  <c r="N27" i="1" a="1"/>
  <c r="O27" i="1" a="1"/>
  <c r="P27" i="1" a="1"/>
  <c r="Q27" i="1" a="1"/>
  <c r="R27" i="1" a="1"/>
  <c r="S27" i="1" a="1"/>
  <c r="T27" i="1" a="1"/>
  <c r="U27" i="1" a="1"/>
  <c r="V27" i="1" a="1"/>
  <c r="W27" i="1" a="1"/>
  <c r="X27" i="1" a="1"/>
  <c r="Y27" i="1" a="1"/>
  <c r="Z27" i="1" a="1"/>
  <c r="AA27" i="1" a="1"/>
  <c r="AB27" i="1" a="1"/>
  <c r="AC27" i="1" a="1"/>
  <c r="AD27" i="1" a="1"/>
  <c r="AE27" i="1" a="1"/>
  <c r="AF27" i="1" a="1"/>
  <c r="AG27" i="1" a="1"/>
  <c r="AH27" i="1" a="1"/>
  <c r="AI27" i="1" a="1"/>
  <c r="AJ27" i="1" a="1"/>
  <c r="AK27" i="1" a="1"/>
  <c r="AL27" i="1" a="1"/>
  <c r="AM27" i="1" a="1"/>
  <c r="J28" i="1" a="1"/>
  <c r="K28" i="1" a="1"/>
  <c r="L28" i="1" a="1"/>
  <c r="M28" i="1" a="1"/>
  <c r="N28" i="1" a="1"/>
  <c r="O28" i="1" a="1"/>
  <c r="P28" i="1" a="1"/>
  <c r="Q28" i="1" a="1"/>
  <c r="R28" i="1" a="1"/>
  <c r="S28" i="1" a="1"/>
  <c r="T28" i="1" a="1"/>
  <c r="U28" i="1" a="1"/>
  <c r="V28" i="1" a="1"/>
  <c r="W28" i="1" a="1"/>
  <c r="X28" i="1" a="1"/>
  <c r="Y28" i="1" a="1"/>
  <c r="Z28" i="1" a="1"/>
  <c r="AA28" i="1" a="1"/>
  <c r="AB28" i="1" a="1"/>
  <c r="AC28" i="1" a="1"/>
  <c r="AD28" i="1" a="1"/>
  <c r="AE28" i="1" a="1"/>
  <c r="AF28" i="1" a="1"/>
  <c r="AG28" i="1" a="1"/>
  <c r="AH28" i="1" a="1"/>
  <c r="AI28" i="1" a="1"/>
  <c r="AJ28" i="1" a="1"/>
  <c r="AK28" i="1" a="1"/>
  <c r="AL28" i="1" a="1"/>
  <c r="AM28" i="1" a="1"/>
  <c r="J29" i="1" a="1"/>
  <c r="K29" i="1" a="1"/>
  <c r="L29" i="1" a="1"/>
  <c r="M29" i="1" a="1"/>
  <c r="N29" i="1" a="1"/>
  <c r="O29" i="1" a="1"/>
  <c r="P29" i="1" a="1"/>
  <c r="Q29" i="1" a="1"/>
  <c r="R29" i="1" a="1"/>
  <c r="S29" i="1" a="1"/>
  <c r="T29" i="1" a="1"/>
  <c r="U29" i="1" a="1"/>
  <c r="V29" i="1" a="1"/>
  <c r="W29" i="1" a="1"/>
  <c r="X29" i="1" a="1"/>
  <c r="Y29" i="1" a="1"/>
  <c r="Z29" i="1" a="1"/>
  <c r="AA29" i="1" a="1"/>
  <c r="AB29" i="1" a="1"/>
  <c r="AC29" i="1" a="1"/>
  <c r="AD29" i="1" a="1"/>
  <c r="AE29" i="1" a="1"/>
  <c r="AF29" i="1" a="1"/>
  <c r="AG29" i="1" a="1"/>
  <c r="AH29" i="1" a="1"/>
  <c r="AI29" i="1" a="1"/>
  <c r="AJ29" i="1" a="1"/>
  <c r="AK29" i="1" a="1"/>
  <c r="AL29" i="1" a="1"/>
  <c r="AM29" i="1" a="1"/>
  <c r="J30" i="1" a="1"/>
  <c r="K30" i="1" a="1"/>
  <c r="L30" i="1" a="1"/>
  <c r="M30" i="1" a="1"/>
  <c r="N30" i="1" a="1"/>
  <c r="O30" i="1" a="1"/>
  <c r="P30" i="1" a="1"/>
  <c r="Q30" i="1" a="1"/>
  <c r="R30" i="1" a="1"/>
  <c r="S30" i="1" a="1"/>
  <c r="T30" i="1" a="1"/>
  <c r="U30" i="1" a="1"/>
  <c r="V30" i="1" a="1"/>
  <c r="W30" i="1" a="1"/>
  <c r="X30" i="1" a="1"/>
  <c r="Y30" i="1" a="1"/>
  <c r="Z30" i="1" a="1"/>
  <c r="AA30" i="1" a="1"/>
  <c r="AB30" i="1" a="1"/>
  <c r="AC30" i="1" a="1"/>
  <c r="AD30" i="1" a="1"/>
  <c r="AE30" i="1" a="1"/>
  <c r="AF30" i="1" a="1"/>
  <c r="AG30" i="1" a="1"/>
  <c r="AH30" i="1" a="1"/>
  <c r="AI30" i="1" a="1"/>
  <c r="AJ30" i="1" a="1"/>
  <c r="AK30" i="1" a="1"/>
  <c r="AL30" i="1" a="1"/>
  <c r="AM30" i="1" a="1"/>
  <c r="J31" i="1" a="1"/>
  <c r="K31" i="1" a="1"/>
  <c r="L31" i="1" a="1"/>
  <c r="M31" i="1" a="1"/>
  <c r="N31" i="1" a="1"/>
  <c r="O31" i="1" a="1"/>
  <c r="P31" i="1" a="1"/>
  <c r="Q31" i="1" a="1"/>
  <c r="R31" i="1" a="1"/>
  <c r="S31" i="1" a="1"/>
  <c r="T31" i="1" a="1"/>
  <c r="U31" i="1" a="1"/>
  <c r="V31" i="1" a="1"/>
  <c r="W31" i="1" a="1"/>
  <c r="X31" i="1" a="1"/>
  <c r="Y31" i="1" a="1"/>
  <c r="Z31" i="1" a="1"/>
  <c r="AA31" i="1" a="1"/>
  <c r="AB31" i="1" a="1"/>
  <c r="AC31" i="1" a="1"/>
  <c r="AD31" i="1" a="1"/>
  <c r="AE31" i="1" a="1"/>
  <c r="AF31" i="1" a="1"/>
  <c r="AG31" i="1" a="1"/>
  <c r="AH31" i="1" a="1"/>
  <c r="AI31" i="1" a="1"/>
  <c r="AJ31" i="1" a="1"/>
  <c r="AK31" i="1" a="1"/>
  <c r="AL31" i="1" a="1"/>
  <c r="AM31" i="1" a="1"/>
  <c r="J32" i="1" a="1"/>
  <c r="K32" i="1" a="1"/>
  <c r="L32" i="1" a="1"/>
  <c r="M32" i="1" a="1"/>
  <c r="N32" i="1" a="1"/>
  <c r="O32" i="1" a="1"/>
  <c r="P32" i="1" a="1"/>
  <c r="Q32" i="1" a="1"/>
  <c r="R32" i="1" a="1"/>
  <c r="S32" i="1" a="1"/>
  <c r="T32" i="1" a="1"/>
  <c r="U32" i="1" a="1"/>
  <c r="V32" i="1" a="1"/>
  <c r="W32" i="1" a="1"/>
  <c r="X32" i="1" a="1"/>
  <c r="Y32" i="1" a="1"/>
  <c r="Z32" i="1" a="1"/>
  <c r="AA32" i="1" a="1"/>
  <c r="AB32" i="1" a="1"/>
  <c r="AC32" i="1" a="1"/>
  <c r="AD32" i="1" a="1"/>
  <c r="AE32" i="1" a="1"/>
  <c r="AF32" i="1" a="1"/>
  <c r="AG32" i="1" a="1"/>
  <c r="AH32" i="1" a="1"/>
  <c r="AI32" i="1" a="1"/>
  <c r="AJ32" i="1" a="1"/>
  <c r="AK32" i="1" a="1"/>
  <c r="AL32" i="1" a="1"/>
  <c r="AM32" i="1" a="1"/>
  <c r="J33" i="1" a="1"/>
  <c r="K33" i="1" a="1"/>
  <c r="L33" i="1" a="1"/>
  <c r="M33" i="1" a="1"/>
  <c r="N33" i="1" a="1"/>
  <c r="O33" i="1" a="1"/>
  <c r="P33" i="1" a="1"/>
  <c r="Q33" i="1" a="1"/>
  <c r="R33" i="1" a="1"/>
  <c r="S33" i="1" a="1"/>
  <c r="T33" i="1" a="1"/>
  <c r="U33" i="1" a="1"/>
  <c r="V33" i="1" a="1"/>
  <c r="W33" i="1" a="1"/>
  <c r="X33" i="1" a="1"/>
  <c r="Y33" i="1" a="1"/>
  <c r="Z33" i="1" a="1"/>
  <c r="AA33" i="1" a="1"/>
  <c r="AB33" i="1" a="1"/>
  <c r="AC33" i="1" a="1"/>
  <c r="AD33" i="1" a="1"/>
  <c r="AE33" i="1" a="1"/>
  <c r="AF33" i="1" a="1"/>
  <c r="AG33" i="1" a="1"/>
  <c r="AH33" i="1" a="1"/>
  <c r="AI33" i="1" a="1"/>
  <c r="AJ33" i="1" a="1"/>
  <c r="AK33" i="1" a="1"/>
  <c r="AL33" i="1" a="1"/>
  <c r="AM33" i="1" a="1"/>
  <c r="J34" i="1" a="1"/>
  <c r="K34" i="1" a="1"/>
  <c r="L34" i="1" a="1"/>
  <c r="M34" i="1" a="1"/>
  <c r="N34" i="1" a="1"/>
  <c r="O34" i="1" a="1"/>
  <c r="P34" i="1" a="1"/>
  <c r="Q34" i="1" a="1"/>
  <c r="R34" i="1" a="1"/>
  <c r="S34" i="1" a="1"/>
  <c r="T34" i="1" a="1"/>
  <c r="U34" i="1" a="1"/>
  <c r="V34" i="1" a="1"/>
  <c r="W34" i="1" a="1"/>
  <c r="X34" i="1" a="1"/>
  <c r="Y34" i="1" a="1"/>
  <c r="Z34" i="1" a="1"/>
  <c r="AA34" i="1" a="1"/>
  <c r="AB34" i="1" a="1"/>
  <c r="AC34" i="1" a="1"/>
  <c r="AD34" i="1" a="1"/>
  <c r="AE34" i="1" a="1"/>
  <c r="AF34" i="1" a="1"/>
  <c r="AG34" i="1" a="1"/>
  <c r="AH34" i="1" a="1"/>
  <c r="AI34" i="1" a="1"/>
  <c r="AJ34" i="1" a="1"/>
  <c r="AK34" i="1" a="1"/>
  <c r="AL34" i="1" a="1"/>
  <c r="AM34" i="1" a="1"/>
  <c r="J35" i="1" a="1"/>
  <c r="K35" i="1" a="1"/>
  <c r="L35" i="1" a="1"/>
  <c r="M35" i="1" a="1"/>
  <c r="N35" i="1" a="1"/>
  <c r="O35" i="1" a="1"/>
  <c r="P35" i="1" a="1"/>
  <c r="Q35" i="1" a="1"/>
  <c r="R35" i="1" a="1"/>
  <c r="S35" i="1" a="1"/>
  <c r="T35" i="1" a="1"/>
  <c r="U35" i="1" a="1"/>
  <c r="V35" i="1" a="1"/>
  <c r="W35" i="1" a="1"/>
  <c r="X35" i="1" a="1"/>
  <c r="Y35" i="1" a="1"/>
  <c r="Z35" i="1" a="1"/>
  <c r="AA35" i="1" a="1"/>
  <c r="AB35" i="1" a="1"/>
  <c r="AC35" i="1" a="1"/>
  <c r="AD35" i="1" a="1"/>
  <c r="AE35" i="1" a="1"/>
  <c r="AF35" i="1" a="1"/>
  <c r="AG35" i="1" a="1"/>
  <c r="AH35" i="1" a="1"/>
  <c r="AI35" i="1" a="1"/>
  <c r="AJ35" i="1" a="1"/>
  <c r="AK35" i="1" a="1"/>
  <c r="AL35" i="1" a="1"/>
  <c r="AM35" i="1" a="1"/>
  <c r="J36" i="1" a="1"/>
  <c r="K36" i="1" a="1"/>
  <c r="L36" i="1" a="1"/>
  <c r="M36" i="1" a="1"/>
  <c r="N36" i="1" a="1"/>
  <c r="O36" i="1" a="1"/>
  <c r="P36" i="1" a="1"/>
  <c r="Q36" i="1" a="1"/>
  <c r="R36" i="1" a="1"/>
  <c r="S36" i="1" a="1"/>
  <c r="T36" i="1" a="1"/>
  <c r="U36" i="1" a="1"/>
  <c r="V36" i="1" a="1"/>
  <c r="W36" i="1" a="1"/>
  <c r="X36" i="1" a="1"/>
  <c r="Y36" i="1" a="1"/>
  <c r="Z36" i="1" a="1"/>
  <c r="AA36" i="1" a="1"/>
  <c r="AB36" i="1" a="1"/>
  <c r="AC36" i="1" a="1"/>
  <c r="AD36" i="1" a="1"/>
  <c r="AE36" i="1" a="1"/>
  <c r="AF36" i="1" a="1"/>
  <c r="AG36" i="1" a="1"/>
  <c r="AH36" i="1" a="1"/>
  <c r="AI36" i="1" a="1"/>
  <c r="AJ36" i="1" a="1"/>
  <c r="AK36" i="1" a="1"/>
  <c r="AL36" i="1" a="1"/>
  <c r="AM36" i="1" a="1"/>
  <c r="J37" i="1" a="1"/>
  <c r="K37" i="1" a="1"/>
  <c r="L37" i="1" a="1"/>
  <c r="M37" i="1" a="1"/>
  <c r="N37" i="1" a="1"/>
  <c r="O37" i="1" a="1"/>
  <c r="P37" i="1" a="1"/>
  <c r="Q37" i="1" a="1"/>
  <c r="R37" i="1" a="1"/>
  <c r="S37" i="1" a="1"/>
  <c r="T37" i="1" a="1"/>
  <c r="U37" i="1" a="1"/>
  <c r="V37" i="1" a="1"/>
  <c r="W37" i="1" a="1"/>
  <c r="X37" i="1" a="1"/>
  <c r="Y37" i="1" a="1"/>
  <c r="Z37" i="1" a="1"/>
  <c r="AA37" i="1" a="1"/>
  <c r="AB37" i="1" a="1"/>
  <c r="AC37" i="1" a="1"/>
  <c r="AD37" i="1" a="1"/>
  <c r="AE37" i="1" a="1"/>
  <c r="AF37" i="1" a="1"/>
  <c r="AG37" i="1" a="1"/>
  <c r="AH37" i="1" a="1"/>
  <c r="AI37" i="1" a="1"/>
  <c r="AJ37" i="1" a="1"/>
  <c r="AK37" i="1" a="1"/>
  <c r="AL37" i="1" a="1"/>
  <c r="AM37" i="1" a="1"/>
  <c r="J38" i="1" a="1"/>
  <c r="K38" i="1" a="1"/>
  <c r="L38" i="1" a="1"/>
  <c r="M38" i="1" a="1"/>
  <c r="N38" i="1" a="1"/>
  <c r="O38" i="1" a="1"/>
  <c r="P38" i="1" a="1"/>
  <c r="Q38" i="1" a="1"/>
  <c r="R38" i="1" a="1"/>
  <c r="S38" i="1" a="1"/>
  <c r="T38" i="1" a="1"/>
  <c r="U38" i="1" a="1"/>
  <c r="V38" i="1" a="1"/>
  <c r="W38" i="1" a="1"/>
  <c r="X38" i="1" a="1"/>
  <c r="Y38" i="1" a="1"/>
  <c r="Z38" i="1" a="1"/>
  <c r="AA38" i="1" a="1"/>
  <c r="AB38" i="1" a="1"/>
  <c r="AC38" i="1" a="1"/>
  <c r="AD38" i="1" a="1"/>
  <c r="AE38" i="1" a="1"/>
  <c r="AF38" i="1" a="1"/>
  <c r="AG38" i="1" a="1"/>
  <c r="AH38" i="1" a="1"/>
  <c r="AI38" i="1" a="1"/>
  <c r="AJ38" i="1" a="1"/>
  <c r="AK38" i="1" a="1"/>
  <c r="AL38" i="1" a="1"/>
  <c r="AM38" i="1" a="1"/>
  <c r="J39" i="1" a="1"/>
  <c r="K39" i="1" a="1"/>
  <c r="L39" i="1" a="1"/>
  <c r="M39" i="1" a="1"/>
  <c r="N39" i="1" a="1"/>
  <c r="O39" i="1" a="1"/>
  <c r="P39" i="1" a="1"/>
  <c r="Q39" i="1" a="1"/>
  <c r="R39" i="1" a="1"/>
  <c r="S39" i="1" a="1"/>
  <c r="T39" i="1" a="1"/>
  <c r="U39" i="1" a="1"/>
  <c r="V39" i="1" a="1"/>
  <c r="W39" i="1" a="1"/>
  <c r="X39" i="1" a="1"/>
  <c r="Y39" i="1" a="1"/>
  <c r="Z39" i="1" a="1"/>
  <c r="AA39" i="1" a="1"/>
  <c r="AB39" i="1" a="1"/>
  <c r="AC39" i="1" a="1"/>
  <c r="AD39" i="1" a="1"/>
  <c r="AE39" i="1" a="1"/>
  <c r="AF39" i="1" a="1"/>
  <c r="AG39" i="1" a="1"/>
  <c r="AH39" i="1" a="1"/>
  <c r="AI39" i="1" a="1"/>
  <c r="AJ39" i="1" a="1"/>
  <c r="AK39" i="1" a="1"/>
  <c r="AL39" i="1" a="1"/>
  <c r="AM39" i="1" a="1"/>
  <c r="J40" i="1" a="1"/>
  <c r="K40" i="1" a="1"/>
  <c r="L40" i="1" a="1"/>
  <c r="M40" i="1" a="1"/>
  <c r="N40" i="1" a="1"/>
  <c r="O40" i="1" a="1"/>
  <c r="P40" i="1" a="1"/>
  <c r="Q40" i="1" a="1"/>
  <c r="R40" i="1" a="1"/>
  <c r="S40" i="1" a="1"/>
  <c r="T40" i="1" a="1"/>
  <c r="U40" i="1" a="1"/>
  <c r="V40" i="1" a="1"/>
  <c r="W40" i="1" a="1"/>
  <c r="X40" i="1" a="1"/>
  <c r="Y40" i="1" a="1"/>
  <c r="Z40" i="1" a="1"/>
  <c r="AA40" i="1" a="1"/>
  <c r="AB40" i="1" a="1"/>
  <c r="AC40" i="1" a="1"/>
  <c r="AD40" i="1" a="1"/>
  <c r="AE40" i="1" a="1"/>
  <c r="AF40" i="1" a="1"/>
  <c r="AG40" i="1" a="1"/>
  <c r="AH40" i="1" a="1"/>
  <c r="AI40" i="1" a="1"/>
  <c r="AJ40" i="1" a="1"/>
  <c r="AK40" i="1" a="1"/>
  <c r="AL40" i="1" a="1"/>
  <c r="AM40" i="1" a="1"/>
  <c r="J41" i="1" a="1"/>
  <c r="K41" i="1" a="1"/>
  <c r="L41" i="1" a="1"/>
  <c r="M41" i="1" a="1"/>
  <c r="N41" i="1" a="1"/>
  <c r="O41" i="1" a="1"/>
  <c r="P41" i="1" a="1"/>
  <c r="Q41" i="1" a="1"/>
  <c r="R41" i="1" a="1"/>
  <c r="S41" i="1" a="1"/>
  <c r="T41" i="1" a="1"/>
  <c r="U41" i="1" a="1"/>
  <c r="V41" i="1" a="1"/>
  <c r="W41" i="1" a="1"/>
  <c r="X41" i="1" a="1"/>
  <c r="Y41" i="1" a="1"/>
  <c r="Z41" i="1" a="1"/>
  <c r="AA41" i="1" a="1"/>
  <c r="AB41" i="1" a="1"/>
  <c r="AC41" i="1" a="1"/>
  <c r="AD41" i="1" a="1"/>
  <c r="AE41" i="1" a="1"/>
  <c r="AF41" i="1" a="1"/>
  <c r="AG41" i="1" a="1"/>
  <c r="AH41" i="1" a="1"/>
  <c r="AI41" i="1" a="1"/>
  <c r="AJ41" i="1" a="1"/>
  <c r="AK41" i="1" a="1"/>
  <c r="AL41" i="1" a="1"/>
  <c r="AM41" i="1" a="1"/>
  <c r="J42" i="1" a="1"/>
  <c r="K42" i="1" a="1"/>
  <c r="L42" i="1" a="1"/>
  <c r="M42" i="1" a="1"/>
  <c r="N42" i="1" a="1"/>
  <c r="O42" i="1" a="1"/>
  <c r="P42" i="1" a="1"/>
  <c r="Q42" i="1" a="1"/>
  <c r="R42" i="1" a="1"/>
  <c r="S42" i="1" a="1"/>
  <c r="T42" i="1" a="1"/>
  <c r="U42" i="1" a="1"/>
  <c r="V42" i="1" a="1"/>
  <c r="W42" i="1" a="1"/>
  <c r="X42" i="1" a="1"/>
  <c r="Y42" i="1" a="1"/>
  <c r="Z42" i="1" a="1"/>
  <c r="AA42" i="1" a="1"/>
  <c r="AB42" i="1" a="1"/>
  <c r="AC42" i="1" a="1"/>
  <c r="AD42" i="1" a="1"/>
  <c r="AE42" i="1" a="1"/>
  <c r="AF42" i="1" a="1"/>
  <c r="AG42" i="1" a="1"/>
  <c r="AH42" i="1" a="1"/>
  <c r="AI42" i="1" a="1"/>
  <c r="AJ42" i="1" a="1"/>
  <c r="AK42" i="1" a="1"/>
  <c r="AL42" i="1" a="1"/>
  <c r="AM42" i="1" a="1"/>
  <c r="J43" i="1" a="1"/>
  <c r="K43" i="1" a="1"/>
  <c r="L43" i="1" a="1"/>
  <c r="M43" i="1" a="1"/>
  <c r="N43" i="1" a="1"/>
  <c r="O43" i="1" a="1"/>
  <c r="P43" i="1" a="1"/>
  <c r="Q43" i="1" a="1"/>
  <c r="R43" i="1" a="1"/>
  <c r="S43" i="1" a="1"/>
  <c r="T43" i="1" a="1"/>
  <c r="U43" i="1" a="1"/>
  <c r="V43" i="1" a="1"/>
  <c r="W43" i="1" a="1"/>
  <c r="X43" i="1" a="1"/>
  <c r="Y43" i="1" a="1"/>
  <c r="Z43" i="1" a="1"/>
  <c r="AA43" i="1" a="1"/>
  <c r="AB43" i="1" a="1"/>
  <c r="AC43" i="1" a="1"/>
  <c r="AD43" i="1" a="1"/>
  <c r="AE43" i="1" a="1"/>
  <c r="AF43" i="1" a="1"/>
  <c r="AG43" i="1" a="1"/>
  <c r="AH43" i="1" a="1"/>
  <c r="AI43" i="1" a="1"/>
  <c r="AJ43" i="1" a="1"/>
  <c r="AK43" i="1" a="1"/>
  <c r="AL43" i="1" a="1"/>
  <c r="AM43" i="1" a="1"/>
  <c r="J44" i="1" a="1"/>
  <c r="K44" i="1" a="1"/>
  <c r="L44" i="1" a="1"/>
  <c r="M44" i="1" a="1"/>
  <c r="N44" i="1" a="1"/>
  <c r="O44" i="1" a="1"/>
  <c r="P44" i="1" a="1"/>
  <c r="Q44" i="1" a="1"/>
  <c r="R44" i="1" a="1"/>
  <c r="S44" i="1" a="1"/>
  <c r="T44" i="1" a="1"/>
  <c r="U44" i="1" a="1"/>
  <c r="V44" i="1" a="1"/>
  <c r="W44" i="1" a="1"/>
  <c r="X44" i="1" a="1"/>
  <c r="Y44" i="1" a="1"/>
  <c r="Z44" i="1" a="1"/>
  <c r="AA44" i="1" a="1"/>
  <c r="AB44" i="1" a="1"/>
  <c r="AC44" i="1" a="1"/>
  <c r="AD44" i="1" a="1"/>
  <c r="AE44" i="1" a="1"/>
  <c r="AF44" i="1" a="1"/>
  <c r="AG44" i="1" a="1"/>
  <c r="AH44" i="1" a="1"/>
  <c r="AI44" i="1" a="1"/>
  <c r="AJ44" i="1" a="1"/>
  <c r="AK44" i="1" a="1"/>
  <c r="AL44" i="1" a="1"/>
  <c r="AM44" i="1" a="1"/>
  <c r="J45" i="1" a="1"/>
  <c r="K45" i="1" a="1"/>
  <c r="L45" i="1" a="1"/>
  <c r="M45" i="1" a="1"/>
  <c r="N45" i="1" a="1"/>
  <c r="O45" i="1" a="1"/>
  <c r="P45" i="1" a="1"/>
  <c r="Q45" i="1" a="1"/>
  <c r="R45" i="1" a="1"/>
  <c r="S45" i="1" a="1"/>
  <c r="T45" i="1" a="1"/>
  <c r="U45" i="1" a="1"/>
  <c r="V45" i="1" a="1"/>
  <c r="W45" i="1" a="1"/>
  <c r="X45" i="1" a="1"/>
  <c r="Y45" i="1" a="1"/>
  <c r="Z45" i="1" a="1"/>
  <c r="AA45" i="1" a="1"/>
  <c r="AB45" i="1" a="1"/>
  <c r="AC45" i="1" a="1"/>
  <c r="AD45" i="1" a="1"/>
  <c r="AE45" i="1" a="1"/>
  <c r="AF45" i="1" a="1"/>
  <c r="AG45" i="1" a="1"/>
  <c r="AH45" i="1" a="1"/>
  <c r="AI45" i="1" a="1"/>
  <c r="AJ45" i="1" a="1"/>
  <c r="AK45" i="1" a="1"/>
  <c r="AL45" i="1" a="1"/>
  <c r="AM45" i="1" a="1"/>
  <c r="J46" i="1" a="1"/>
  <c r="K46" i="1" a="1"/>
  <c r="L46" i="1" a="1"/>
  <c r="M46" i="1" a="1"/>
  <c r="N46" i="1" a="1"/>
  <c r="O46" i="1" a="1"/>
  <c r="P46" i="1" a="1"/>
  <c r="Q46" i="1" a="1"/>
  <c r="R46" i="1" a="1"/>
  <c r="S46" i="1" a="1"/>
  <c r="T46" i="1" a="1"/>
  <c r="U46" i="1" a="1"/>
  <c r="V46" i="1" a="1"/>
  <c r="W46" i="1" a="1"/>
  <c r="X46" i="1" a="1"/>
  <c r="Y46" i="1" a="1"/>
  <c r="Z46" i="1" a="1"/>
  <c r="AA46" i="1" a="1"/>
  <c r="AB46" i="1" a="1"/>
  <c r="AC46" i="1" a="1"/>
  <c r="AD46" i="1" a="1"/>
  <c r="AE46" i="1" a="1"/>
  <c r="AF46" i="1" a="1"/>
  <c r="AG46" i="1" a="1"/>
  <c r="AH46" i="1" a="1"/>
  <c r="AI46" i="1" a="1"/>
  <c r="AJ46" i="1" a="1"/>
  <c r="AK46" i="1" a="1"/>
  <c r="AL46" i="1" a="1"/>
  <c r="AM46" i="1" a="1"/>
  <c r="J47" i="1" a="1"/>
  <c r="K47" i="1" a="1"/>
  <c r="L47" i="1" a="1"/>
  <c r="M47" i="1" a="1"/>
  <c r="N47" i="1" a="1"/>
  <c r="O47" i="1" a="1"/>
  <c r="P47" i="1" a="1"/>
  <c r="Q47" i="1" a="1"/>
  <c r="R47" i="1" a="1"/>
  <c r="S47" i="1" a="1"/>
  <c r="T47" i="1" a="1"/>
  <c r="U47" i="1" a="1"/>
  <c r="V47" i="1" a="1"/>
  <c r="W47" i="1" a="1"/>
  <c r="X47" i="1" a="1"/>
  <c r="Y47" i="1" a="1"/>
  <c r="Z47" i="1" a="1"/>
  <c r="AA47" i="1" a="1"/>
  <c r="AB47" i="1" a="1"/>
  <c r="AC47" i="1" a="1"/>
  <c r="AD47" i="1" a="1"/>
  <c r="AE47" i="1" a="1"/>
  <c r="AF47" i="1" a="1"/>
  <c r="AG47" i="1" a="1"/>
  <c r="AH47" i="1" a="1"/>
  <c r="AI47" i="1" a="1"/>
  <c r="AJ47" i="1" a="1"/>
  <c r="AK47" i="1" a="1"/>
  <c r="AL47" i="1" a="1"/>
  <c r="AM47" i="1" a="1"/>
  <c r="J48" i="1" a="1"/>
  <c r="K48" i="1" a="1"/>
  <c r="L48" i="1" a="1"/>
  <c r="M48" i="1" a="1"/>
  <c r="N48" i="1" a="1"/>
  <c r="O48" i="1" a="1"/>
  <c r="P48" i="1" a="1"/>
  <c r="Q48" i="1" a="1"/>
  <c r="R48" i="1" a="1"/>
  <c r="S48" i="1" a="1"/>
  <c r="T48" i="1" a="1"/>
  <c r="U48" i="1" a="1"/>
  <c r="V48" i="1" a="1"/>
  <c r="W48" i="1" a="1"/>
  <c r="X48" i="1" a="1"/>
  <c r="Y48" i="1" a="1"/>
  <c r="Z48" i="1" a="1"/>
  <c r="AA48" i="1" a="1"/>
  <c r="AB48" i="1" a="1"/>
  <c r="AC48" i="1" a="1"/>
  <c r="AD48" i="1" a="1"/>
  <c r="AE48" i="1" a="1"/>
  <c r="AF48" i="1" a="1"/>
  <c r="AG48" i="1" a="1"/>
  <c r="AH48" i="1" a="1"/>
  <c r="AI48" i="1" a="1"/>
  <c r="AJ48" i="1" a="1"/>
  <c r="AK48" i="1" a="1"/>
  <c r="AL48" i="1" a="1"/>
  <c r="AM48" i="1" a="1"/>
  <c r="J49" i="1" a="1"/>
  <c r="K49" i="1" a="1"/>
  <c r="L49" i="1" a="1"/>
  <c r="M49" i="1" a="1"/>
  <c r="N49" i="1" a="1"/>
  <c r="O49" i="1" a="1"/>
  <c r="P49" i="1" a="1"/>
  <c r="Q49" i="1" a="1"/>
  <c r="R49" i="1" a="1"/>
  <c r="S49" i="1" a="1"/>
  <c r="T49" i="1" a="1"/>
  <c r="U49" i="1" a="1"/>
  <c r="V49" i="1" a="1"/>
  <c r="W49" i="1" a="1"/>
  <c r="X49" i="1" a="1"/>
  <c r="Y49" i="1" a="1"/>
  <c r="Z49" i="1" a="1"/>
  <c r="AA49" i="1" a="1"/>
  <c r="AB49" i="1" a="1"/>
  <c r="AC49" i="1" a="1"/>
  <c r="AD49" i="1" a="1"/>
  <c r="AE49" i="1" a="1"/>
  <c r="AF49" i="1" a="1"/>
  <c r="AG49" i="1" a="1"/>
  <c r="AH49" i="1" a="1"/>
  <c r="AI49" i="1" a="1"/>
  <c r="AJ49" i="1" a="1"/>
  <c r="AK49" i="1" a="1"/>
  <c r="AL49" i="1" a="1"/>
  <c r="AM49" i="1" a="1"/>
  <c r="J50" i="1" a="1"/>
  <c r="K50" i="1" a="1"/>
  <c r="L50" i="1" a="1"/>
  <c r="M50" i="1" a="1"/>
  <c r="N50" i="1" a="1"/>
  <c r="O50" i="1" a="1"/>
  <c r="P50" i="1" a="1"/>
  <c r="Q50" i="1" a="1"/>
  <c r="R50" i="1" a="1"/>
  <c r="S50" i="1" a="1"/>
  <c r="T50" i="1" a="1"/>
  <c r="U50" i="1" a="1"/>
  <c r="V50" i="1" a="1"/>
  <c r="W50" i="1" a="1"/>
  <c r="X50" i="1" a="1"/>
  <c r="Y50" i="1" a="1"/>
  <c r="Z50" i="1" a="1"/>
  <c r="AA50" i="1" a="1"/>
  <c r="AB50" i="1" a="1"/>
  <c r="AC50" i="1" a="1"/>
  <c r="AD50" i="1" a="1"/>
  <c r="AE50" i="1" a="1"/>
  <c r="AF50" i="1" a="1"/>
  <c r="AG50" i="1" a="1"/>
  <c r="AH50" i="1" a="1"/>
  <c r="AI50" i="1" a="1"/>
  <c r="AJ50" i="1" a="1"/>
  <c r="AK50" i="1" a="1"/>
  <c r="AL50" i="1" a="1"/>
  <c r="AM50" i="1" a="1"/>
  <c r="J51" i="1" a="1"/>
  <c r="K51" i="1" a="1"/>
  <c r="L51" i="1" a="1"/>
  <c r="M51" i="1" a="1"/>
  <c r="N51" i="1" a="1"/>
  <c r="O51" i="1" a="1"/>
  <c r="P51" i="1" a="1"/>
  <c r="Q51" i="1" a="1"/>
  <c r="R51" i="1" a="1"/>
  <c r="S51" i="1" a="1"/>
  <c r="T51" i="1" a="1"/>
  <c r="U51" i="1" a="1"/>
  <c r="V51" i="1" a="1"/>
  <c r="W51" i="1" a="1"/>
  <c r="X51" i="1" a="1"/>
  <c r="Y51" i="1" a="1"/>
  <c r="Z51" i="1" a="1"/>
  <c r="AA51" i="1" a="1"/>
  <c r="AB51" i="1" a="1"/>
  <c r="AC51" i="1" a="1"/>
  <c r="AD51" i="1" a="1"/>
  <c r="AE51" i="1" a="1"/>
  <c r="AF51" i="1" a="1"/>
  <c r="AG51" i="1" a="1"/>
  <c r="AH51" i="1" a="1"/>
  <c r="AI51" i="1" a="1"/>
  <c r="AJ51" i="1" a="1"/>
  <c r="AK51" i="1" a="1"/>
  <c r="AL51" i="1" a="1"/>
  <c r="AM51" i="1" a="1"/>
  <c r="J52" i="1" a="1"/>
  <c r="K52" i="1" a="1"/>
  <c r="L52" i="1" a="1"/>
  <c r="M52" i="1" a="1"/>
  <c r="N52" i="1" a="1"/>
  <c r="O52" i="1" a="1"/>
  <c r="P52" i="1" a="1"/>
  <c r="Q52" i="1" a="1"/>
  <c r="R52" i="1" a="1"/>
  <c r="S52" i="1" a="1"/>
  <c r="T52" i="1" a="1"/>
  <c r="U52" i="1" a="1"/>
  <c r="V52" i="1" a="1"/>
  <c r="W52" i="1" a="1"/>
  <c r="X52" i="1" a="1"/>
  <c r="Y52" i="1" a="1"/>
  <c r="Z52" i="1" a="1"/>
  <c r="AA52" i="1" a="1"/>
  <c r="AB52" i="1" a="1"/>
  <c r="AC52" i="1" a="1"/>
  <c r="AD52" i="1" a="1"/>
  <c r="AE52" i="1" a="1"/>
  <c r="AF52" i="1" a="1"/>
  <c r="AG52" i="1" a="1"/>
  <c r="AH52" i="1" a="1"/>
  <c r="AI52" i="1" a="1"/>
  <c r="AJ52" i="1" a="1"/>
  <c r="AK52" i="1" a="1"/>
  <c r="AL52" i="1" a="1"/>
  <c r="AM52" i="1" a="1"/>
  <c r="J53" i="1" a="1"/>
  <c r="K53" i="1" a="1"/>
  <c r="L53" i="1" a="1"/>
  <c r="M53" i="1" a="1"/>
  <c r="N53" i="1" a="1"/>
  <c r="O53" i="1" a="1"/>
  <c r="P53" i="1" a="1"/>
  <c r="Q53" i="1" a="1"/>
  <c r="R53" i="1" a="1"/>
  <c r="S53" i="1" a="1"/>
  <c r="T53" i="1" a="1"/>
  <c r="U53" i="1" a="1"/>
  <c r="V53" i="1" a="1"/>
  <c r="W53" i="1" a="1"/>
  <c r="X53" i="1" a="1"/>
  <c r="Y53" i="1" a="1"/>
  <c r="Z53" i="1" a="1"/>
  <c r="AA53" i="1" a="1"/>
  <c r="AB53" i="1" a="1"/>
  <c r="AC53" i="1" a="1"/>
  <c r="AD53" i="1" a="1"/>
  <c r="AE53" i="1" a="1"/>
  <c r="AF53" i="1" a="1"/>
  <c r="AG53" i="1" a="1"/>
  <c r="AH53" i="1" a="1"/>
  <c r="AI53" i="1" a="1"/>
  <c r="AJ53" i="1" a="1"/>
  <c r="AK53" i="1" a="1"/>
  <c r="AL53" i="1" a="1"/>
  <c r="AM53" i="1" a="1"/>
  <c r="J54" i="1" a="1"/>
  <c r="K54" i="1" a="1"/>
  <c r="L54" i="1" a="1"/>
  <c r="M54" i="1" a="1"/>
  <c r="N54" i="1" a="1"/>
  <c r="O54" i="1" a="1"/>
  <c r="P54" i="1" a="1"/>
  <c r="Q54" i="1" a="1"/>
  <c r="R54" i="1" a="1"/>
  <c r="S54" i="1" a="1"/>
  <c r="T54" i="1" a="1"/>
  <c r="U54" i="1" a="1"/>
  <c r="V54" i="1" a="1"/>
  <c r="W54" i="1" a="1"/>
  <c r="X54" i="1" a="1"/>
  <c r="Y54" i="1" a="1"/>
  <c r="Z54" i="1" a="1"/>
  <c r="AA54" i="1" a="1"/>
  <c r="AB54" i="1" a="1"/>
  <c r="AC54" i="1" a="1"/>
  <c r="AD54" i="1" a="1"/>
  <c r="AE54" i="1" a="1"/>
  <c r="AF54" i="1" a="1"/>
  <c r="AG54" i="1" a="1"/>
  <c r="AH54" i="1" a="1"/>
  <c r="AI54" i="1" a="1"/>
  <c r="AJ54" i="1" a="1"/>
  <c r="AK54" i="1" a="1"/>
  <c r="AL54" i="1" a="1"/>
  <c r="AM54" i="1" a="1"/>
  <c r="J55" i="1" a="1"/>
  <c r="K55" i="1" a="1"/>
  <c r="L55" i="1" a="1"/>
  <c r="M55" i="1" a="1"/>
  <c r="N55" i="1" a="1"/>
  <c r="O55" i="1" a="1"/>
  <c r="P55" i="1" a="1"/>
  <c r="Q55" i="1" a="1"/>
  <c r="R55" i="1" a="1"/>
  <c r="S55" i="1" a="1"/>
  <c r="T55" i="1" a="1"/>
  <c r="U55" i="1" a="1"/>
  <c r="V55" i="1" a="1"/>
  <c r="W55" i="1" a="1"/>
  <c r="X55" i="1" a="1"/>
  <c r="Y55" i="1" a="1"/>
  <c r="Z55" i="1" a="1"/>
  <c r="AA55" i="1" a="1"/>
  <c r="AB55" i="1" a="1"/>
  <c r="AC55" i="1" a="1"/>
  <c r="AD55" i="1" a="1"/>
  <c r="AE55" i="1" a="1"/>
  <c r="AF55" i="1" a="1"/>
  <c r="AG55" i="1" a="1"/>
  <c r="AH55" i="1" a="1"/>
  <c r="AI55" i="1" a="1"/>
  <c r="AJ55" i="1" a="1"/>
  <c r="AK55" i="1" a="1"/>
  <c r="AL55" i="1" a="1"/>
  <c r="AM55" i="1" a="1"/>
  <c r="J56" i="1" a="1"/>
  <c r="K56" i="1" a="1"/>
  <c r="L56" i="1" a="1"/>
  <c r="M56" i="1" a="1"/>
  <c r="N56" i="1" a="1"/>
  <c r="O56" i="1" a="1"/>
  <c r="P56" i="1" a="1"/>
  <c r="Q56" i="1" a="1"/>
  <c r="R56" i="1" a="1"/>
  <c r="S56" i="1" a="1"/>
  <c r="T56" i="1" a="1"/>
  <c r="U56" i="1" a="1"/>
  <c r="V56" i="1" a="1"/>
  <c r="W56" i="1" a="1"/>
  <c r="X56" i="1" a="1"/>
  <c r="Y56" i="1" a="1"/>
  <c r="Z56" i="1" a="1"/>
  <c r="AA56" i="1" a="1"/>
  <c r="AB56" i="1" a="1"/>
  <c r="AC56" i="1" a="1"/>
  <c r="AD56" i="1" a="1"/>
  <c r="AE56" i="1" a="1"/>
  <c r="AF56" i="1" a="1"/>
  <c r="AG56" i="1" a="1"/>
  <c r="AH56" i="1" a="1"/>
  <c r="AI56" i="1" a="1"/>
  <c r="AJ56" i="1" a="1"/>
  <c r="AK56" i="1" a="1"/>
  <c r="AL56" i="1" a="1"/>
  <c r="AM56" i="1" a="1"/>
  <c r="J6" i="1" a="1"/>
  <c r="K6" i="1" a="1"/>
  <c r="L6" i="1" a="1"/>
  <c r="M6" i="1" a="1"/>
  <c r="N6" i="1" a="1"/>
  <c r="O6" i="1" a="1"/>
  <c r="P6" i="1" a="1"/>
  <c r="Q6" i="1" a="1"/>
  <c r="R6" i="1" a="1"/>
  <c r="S6" i="1" a="1"/>
  <c r="T6" i="1" a="1"/>
  <c r="U6" i="1" a="1"/>
  <c r="V6" i="1" a="1"/>
  <c r="W6" i="1" a="1"/>
  <c r="X6" i="1" a="1"/>
  <c r="Y6" i="1" a="1"/>
  <c r="Z6" i="1" a="1"/>
  <c r="AA6" i="1" a="1"/>
  <c r="AB6" i="1" a="1"/>
  <c r="AC6" i="1" a="1"/>
  <c r="AD6" i="1" a="1"/>
  <c r="AE6" i="1" a="1"/>
  <c r="AF6" i="1" a="1"/>
  <c r="AG6" i="1" a="1"/>
  <c r="AH6" i="1" a="1"/>
  <c r="AI6" i="1" a="1"/>
  <c r="AJ6" i="1" a="1"/>
  <c r="AK6" i="1" a="1"/>
  <c r="AL6" i="1" a="1"/>
  <c r="AM6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AK5" i="1"/>
  <c r="AL5" i="1" s="1"/>
  <c r="AM5" i="1" s="1"/>
  <c r="AA5" i="1"/>
  <c r="AB5" i="1" s="1"/>
  <c r="AC5" i="1" s="1"/>
  <c r="AD5" i="1" s="1"/>
  <c r="AE5" i="1" s="1"/>
  <c r="AF5" i="1" s="1"/>
  <c r="AG5" i="1" s="1"/>
  <c r="AH5" i="1" s="1"/>
  <c r="AI5" i="1" s="1"/>
  <c r="AJ5" i="1" s="1"/>
  <c r="K5" i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J5" i="1"/>
  <c r="H50" i="1"/>
  <c r="H51" i="1"/>
  <c r="H52" i="1"/>
  <c r="H53" i="1"/>
  <c r="H54" i="1"/>
  <c r="H55" i="1"/>
  <c r="H56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7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828" i="1"/>
  <c r="H63" i="1" l="1"/>
  <c r="H64" i="1" l="1"/>
  <c r="H65" i="1" l="1"/>
  <c r="H66" i="1" l="1"/>
  <c r="H67" i="1" l="1"/>
  <c r="H68" i="1" l="1"/>
  <c r="H69" i="1" l="1"/>
  <c r="H70" i="1" l="1"/>
  <c r="H71" i="1" l="1"/>
  <c r="H72" i="1" l="1"/>
  <c r="H73" i="1" l="1"/>
  <c r="H74" i="1" l="1"/>
  <c r="H75" i="1" l="1"/>
  <c r="H76" i="1" l="1"/>
  <c r="H77" i="1" l="1"/>
  <c r="H78" i="1" l="1"/>
  <c r="H79" i="1" l="1"/>
  <c r="H80" i="1" l="1"/>
  <c r="H81" i="1" l="1"/>
  <c r="H82" i="1" l="1"/>
  <c r="H83" i="1" l="1"/>
  <c r="H84" i="1" l="1"/>
  <c r="H85" i="1" l="1"/>
  <c r="H86" i="1" l="1"/>
  <c r="H87" i="1" l="1"/>
  <c r="H88" i="1" l="1"/>
  <c r="H89" i="1" l="1"/>
  <c r="H90" i="1" l="1"/>
  <c r="H91" i="1" l="1"/>
  <c r="H92" i="1" l="1"/>
  <c r="H93" i="1" l="1"/>
  <c r="H94" i="1" l="1"/>
  <c r="H95" i="1" l="1"/>
  <c r="H96" i="1" l="1"/>
  <c r="H97" i="1" l="1"/>
  <c r="H98" i="1" l="1"/>
  <c r="H99" i="1" l="1"/>
  <c r="H100" i="1" l="1"/>
  <c r="H101" i="1" l="1"/>
  <c r="H102" i="1" l="1"/>
  <c r="H103" i="1" l="1"/>
  <c r="H104" i="1" l="1"/>
  <c r="H105" i="1" l="1"/>
  <c r="H106" i="1" l="1"/>
  <c r="H107" i="1" l="1"/>
  <c r="H108" i="1" l="1"/>
  <c r="H109" i="1" l="1"/>
  <c r="H110" i="1" l="1"/>
  <c r="H1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<sst xmlns="http://schemas.openxmlformats.org/spreadsheetml/2006/main" count="2" uniqueCount="2">
  <si>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Week ending</t>
  </si>
  <si>
    <t>Total Lower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</si>
</sst>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0"/>
    <xf numFmtId="0" fontId="2" fillId="0" borderId="2" applyNumberFormat="0" applyFont="0" applyProtection="0">
      <alignment wrapText="1"/>
    </xf>
    <xf numFmtId="0" fontId="3" fillId="0" borderId="1" applyNumberFormat="0" applyProtection="0">
      <alignment wrapText="1"/>
    </xf>
    <xf numFmtId="0" fontId="3" fillId="0" borderId="3" applyNumberFormat="0" applyProtection="0">
      <alignment horizontal="left" wrapText="1"/>
    </xf>
  </cellStyleXfs>
  <cellXfs count="10">
    <xf numFmtId="0" fontId="0" fillId="0" borderId="0" xfId="0"/>
    <xf numFmtId="0" fontId="2" fillId="0" borderId="2" xfId="2" applyAlignment="1">
      <alignment horizontal="right" wrapText="1"/>
    </xf>
    <xf numFmtId="164" fontId="2" fillId="0" borderId="2" xfId="2" applyNumberFormat="1" applyAlignment="1">
      <alignment horizontal="left" wrapText="1"/>
    </xf>
    <xf numFmtId="0" fontId="4" fillId="0" borderId="1" xfId="3" applyFont="1" applyAlignment="1">
      <alignment horizontal="left" wrapText="1"/>
    </xf>
    <xf numFmtId="0" fontId="4" fillId="0" borderId="1" xfId="3" applyFont="1" applyAlignment="1">
      <alignment horizontal="right" wrapText="1"/>
    </xf>
    <xf numFmtId="0" fontId="0" fillId="0" borderId="0" xfId="0"/>
    <xf numFmtId="164" fontId="5" fillId="0" borderId="0" xfId="0" applyNumberFormat="1" applyFont="1"/>
    <xf numFmtId="3" fontId="5" fillId="0" borderId="0" xfId="0" applyNumberFormat="1" applyFont="1"/>
    <xf numFmtId="9" fontId="0" fillId="0" borderId="0" xfId="0" applyNumberFormat="1"/>
    <xf numFmtId="165" fontId="0" fillId="0" borderId="0" xfId="0" applyNumberFormat="1"/>
  </cellXfs>
  <cellStyles count="5">
    <cellStyle name="Body: normal cell" xfId="2" xr:uid="{F6F50FCA-C447-4091-B581-83CECD446991}"/>
    <cellStyle name="Header: bottom row" xfId="3" xr:uid="{8DCB4ACF-E990-41B9-B5C5-ED007C09C373}"/>
    <cellStyle name="Header: top rows" xfId="4" xr:uid="{7FAB1AA2-977C-452F-94B8-551112E5A71B}"/>
    <cellStyle name="Normal" xfId="0" builtinId="0"/>
    <cellStyle name="Normal 2" xfId="1" xr:uid="{22AA955A-BF7E-4633-9BA7-F9514DC603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1711"/>
  <sheetViews>
    <sheetView tabSelected="1" zoomScale="5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0" sqref="G10"/>
    </sheetView>
  </sheetViews>
  <sheetFormatPr defaultRowHeight="15" x14ac:dyDescent="0.25"/>
  <cols>
    <col min="1" max="1" width="9.140625" style="5"/>
    <col min="3" max="3" width="9.5703125" bestFit="1" customWidth="1"/>
    <col min="12" max="12" width="5.7109375" bestFit="1" customWidth="1"/>
  </cols>
  <sheetData>
    <row r="2" spans="1:39" ht="27" thickBot="1" x14ac:dyDescent="0.3">
      <c r="C2" s="3" t="s">
        <v>0</v>
      </c>
      <c r="D2" s="4" t="s">
        <v>1</v>
      </c>
    </row>
    <row r="3" spans="1:39" ht="15.75" thickTop="1" x14ac:dyDescent="0.25">
      <c r="A3" s="5">
        <f t="shared" ref="A3:A66" si="0">YEAR(C3)</f>
        <v>1993</v>
      </c>
      <c r="B3" s="5">
        <f t="shared" ref="B3:B66" si="1">WEEKNUM(C3)</f>
        <v>53</v>
      </c>
      <c r="C3" s="2">
        <v>34334</v>
      </c>
      <c r="D3" s="1">
        <v>2322</v>
      </c>
    </row>
    <row r="4" spans="1:39" x14ac:dyDescent="0.25">
      <c r="A4" s="5">
        <f t="shared" si="0"/>
        <v>1994</v>
      </c>
      <c r="B4" s="5">
        <f t="shared" si="1"/>
        <v>2</v>
      </c>
      <c r="C4" s="2">
        <v>34341</v>
      </c>
      <c r="D4" s="1">
        <v>2186</v>
      </c>
    </row>
    <row r="5" spans="1:39" x14ac:dyDescent="0.25">
      <c r="A5" s="5">
        <f t="shared" si="0"/>
        <v>1994</v>
      </c>
      <c r="B5" s="5">
        <f t="shared" si="1"/>
        <v>3</v>
      </c>
      <c r="C5" s="2">
        <v>34348</v>
      </c>
      <c r="D5" s="1">
        <v>2019</v>
      </c>
      <c r="I5">
        <v>1996</v>
      </c>
      <c r="J5">
        <f>I5+1</f>
        <v>1997</v>
      </c>
      <c r="K5" s="5">
        <f t="shared" ref="K5:AM5" si="2">J5+1</f>
        <v>1998</v>
      </c>
      <c r="L5" s="5">
        <f t="shared" si="2"/>
        <v>1999</v>
      </c>
      <c r="M5" s="5">
        <f t="shared" si="2"/>
        <v>2000</v>
      </c>
      <c r="N5" s="5">
        <f t="shared" si="2"/>
        <v>2001</v>
      </c>
      <c r="O5" s="5">
        <f t="shared" si="2"/>
        <v>2002</v>
      </c>
      <c r="P5" s="5">
        <f t="shared" si="2"/>
        <v>2003</v>
      </c>
      <c r="Q5" s="5">
        <f t="shared" si="2"/>
        <v>2004</v>
      </c>
      <c r="R5" s="5">
        <f t="shared" si="2"/>
        <v>2005</v>
      </c>
      <c r="S5" s="5">
        <f t="shared" si="2"/>
        <v>2006</v>
      </c>
      <c r="T5" s="5">
        <f t="shared" si="2"/>
        <v>2007</v>
      </c>
      <c r="U5" s="5">
        <f t="shared" si="2"/>
        <v>2008</v>
      </c>
      <c r="V5" s="5">
        <f t="shared" si="2"/>
        <v>2009</v>
      </c>
      <c r="W5" s="5">
        <f t="shared" si="2"/>
        <v>2010</v>
      </c>
      <c r="X5" s="5">
        <f t="shared" si="2"/>
        <v>2011</v>
      </c>
      <c r="Y5" s="5">
        <f t="shared" si="2"/>
        <v>2012</v>
      </c>
      <c r="Z5" s="5">
        <f t="shared" si="2"/>
        <v>2013</v>
      </c>
      <c r="AA5" s="5">
        <f t="shared" si="2"/>
        <v>2014</v>
      </c>
      <c r="AB5" s="5">
        <f t="shared" si="2"/>
        <v>2015</v>
      </c>
      <c r="AC5" s="5">
        <f t="shared" si="2"/>
        <v>2016</v>
      </c>
      <c r="AD5" s="5">
        <f t="shared" si="2"/>
        <v>2017</v>
      </c>
      <c r="AE5" s="5">
        <f t="shared" si="2"/>
        <v>2018</v>
      </c>
      <c r="AF5" s="5">
        <f t="shared" si="2"/>
        <v>2019</v>
      </c>
      <c r="AG5" s="5">
        <f t="shared" si="2"/>
        <v>2020</v>
      </c>
      <c r="AH5" s="5">
        <f t="shared" si="2"/>
        <v>2021</v>
      </c>
      <c r="AI5" s="5">
        <f t="shared" si="2"/>
        <v>2022</v>
      </c>
      <c r="AJ5" s="5">
        <f t="shared" si="2"/>
        <v>2023</v>
      </c>
      <c r="AK5" s="5">
        <f t="shared" si="2"/>
        <v>2024</v>
      </c>
      <c r="AL5" s="5">
        <f t="shared" si="2"/>
        <v>2025</v>
      </c>
      <c r="AM5" s="5">
        <f t="shared" si="2"/>
        <v>2026</v>
      </c>
    </row>
    <row r="6" spans="1:39" x14ac:dyDescent="0.25">
      <c r="A6" s="5">
        <f t="shared" si="0"/>
        <v>1994</v>
      </c>
      <c r="B6" s="5">
        <f t="shared" si="1"/>
        <v>4</v>
      </c>
      <c r="C6" s="2">
        <v>34355</v>
      </c>
      <c r="D6" s="1">
        <v>1782</v>
      </c>
      <c r="H6">
        <v>2</v>
      </c>
      <c r="I6" cm="1">
        <f t="array" ref="I6">_xlfn.XLOOKUP(I$5^$H6,$A$4:$A$1711^$B$4:$B$1711,$D$4:$D$1711,NA(),0,1)</f>
        <v>1872</v>
      </c>
      <c r="J6" s="5" cm="1">
        <f t="array" ref="J6">_xlfn.XLOOKUP(J$5^$H6,$A$4:$A$1711^$B$4:$B$1711,$D$4:$D$1711,NA(),0,1)</f>
        <v>2065</v>
      </c>
      <c r="K6" s="5" cm="1">
        <f t="array" ref="K6">_xlfn.XLOOKUP(K$5^$H6,$A$4:$A$1711^$B$4:$B$1711,$D$4:$D$1711,NA(),0,1)</f>
        <v>2111</v>
      </c>
      <c r="L6" s="5" cm="1">
        <f t="array" ref="L6">_xlfn.XLOOKUP(L$5^$H6,$A$4:$A$1711^$B$4:$B$1711,$D$4:$D$1711,NA(),0,1)</f>
        <v>2472</v>
      </c>
      <c r="M6" s="5" cm="1">
        <f t="array" ref="M6">_xlfn.XLOOKUP(M$5^$H6,$A$4:$A$1711^$B$4:$B$1711,$D$4:$D$1711,NA(),0,1)</f>
        <v>2418</v>
      </c>
      <c r="N6" s="5" cm="1">
        <f t="array" ref="N6">_xlfn.XLOOKUP(N$5^$H6,$A$4:$A$1711^$B$4:$B$1711,$D$4:$D$1711,NA(),0,1)</f>
        <v>1525</v>
      </c>
      <c r="O6" s="5" cm="1">
        <f t="array" ref="O6">_xlfn.XLOOKUP(O$5^$H6,$A$4:$A$1711^$B$4:$B$1711,$D$4:$D$1711,NA(),0,1)</f>
        <v>2648</v>
      </c>
      <c r="P6" s="5" cm="1">
        <f t="array" ref="P6">_xlfn.XLOOKUP(P$5^$H6,$A$4:$A$1711^$B$4:$B$1711,$D$4:$D$1711,NA(),0,1)</f>
        <v>2195</v>
      </c>
      <c r="Q6" s="5" cm="1">
        <f t="array" ref="Q6">_xlfn.XLOOKUP(Q$5^$H6,$A$4:$A$1711^$B$4:$B$1711,$D$4:$D$1711,NA(),0,1)</f>
        <v>2414</v>
      </c>
      <c r="R6" s="5" cm="1">
        <f t="array" ref="R6">_xlfn.XLOOKUP(R$5^$H6,$A$4:$A$1711^$B$4:$B$1711,$D$4:$D$1711,NA(),0,1)</f>
        <v>2610</v>
      </c>
      <c r="S6" s="5" cm="1">
        <f t="array" ref="S6">_xlfn.XLOOKUP(S$5^$H6,$A$4:$A$1711^$B$4:$B$1711,$D$4:$D$1711,NA(),0,1)</f>
        <v>2575</v>
      </c>
      <c r="T6" s="5" cm="1">
        <f t="array" ref="T6">_xlfn.XLOOKUP(T$5^$H6,$A$4:$A$1711^$B$4:$B$1711,$D$4:$D$1711,NA(),0,1)</f>
        <v>2936</v>
      </c>
      <c r="U6" s="5" cm="1">
        <f t="array" ref="U6">_xlfn.XLOOKUP(U$5^$H6,$A$4:$A$1711^$B$4:$B$1711,$D$4:$D$1711,NA(),0,1)</f>
        <v>2691</v>
      </c>
      <c r="V6" s="5" cm="1">
        <f t="array" ref="V6">_xlfn.XLOOKUP(V$5^$H6,$A$4:$A$1711^$B$4:$B$1711,$D$4:$D$1711,NA(),0,1)</f>
        <v>2736</v>
      </c>
      <c r="W6" s="5" cm="1">
        <f t="array" ref="W6">_xlfn.XLOOKUP(W$5^$H6,$A$4:$A$1711^$B$4:$B$1711,$D$4:$D$1711,NA(),0,1)</f>
        <v>2850</v>
      </c>
      <c r="X6" s="5" cm="1">
        <f t="array" ref="X6">_xlfn.XLOOKUP(X$5^$H6,$A$4:$A$1711^$B$4:$B$1711,$D$4:$D$1711,NA(),0,1)</f>
        <v>2960</v>
      </c>
      <c r="Y6" s="5" cm="1">
        <f t="array" ref="Y6">_xlfn.XLOOKUP(Y$5^$H6,$A$4:$A$1711^$B$4:$B$1711,$D$4:$D$1711,NA(),0,1)</f>
        <v>3290</v>
      </c>
      <c r="Z6" s="5" cm="1">
        <f t="array" ref="Z6">_xlfn.XLOOKUP(Z$5^$H6,$A$4:$A$1711^$B$4:$B$1711,$D$4:$D$1711,NA(),0,1)</f>
        <v>3167</v>
      </c>
      <c r="AA6" s="5" cm="1">
        <f t="array" ref="AA6">_xlfn.XLOOKUP(AA$5^$H6,$A$4:$A$1711^$B$4:$B$1711,$D$4:$D$1711,NA(),0,1)</f>
        <v>2529</v>
      </c>
      <c r="AB6" s="5" cm="1">
        <f t="array" ref="AB6">_xlfn.XLOOKUP(AB$5^$H6,$A$4:$A$1711^$B$4:$B$1711,$D$4:$D$1711,NA(),0,1)</f>
        <v>2854</v>
      </c>
      <c r="AC6" s="5" cm="1">
        <f t="array" ref="AC6">_xlfn.XLOOKUP(AC$5^$H6,$A$4:$A$1711^$B$4:$B$1711,$D$4:$D$1711,NA(),0,1)</f>
        <v>3475</v>
      </c>
      <c r="AD6" s="5" cm="1">
        <f t="array" ref="AD6">_xlfn.XLOOKUP(AD$5^$H6,$A$4:$A$1711^$B$4:$B$1711,$D$4:$D$1711,NA(),0,1)</f>
        <v>2917</v>
      </c>
      <c r="AE6" s="5" cm="1">
        <f t="array" ref="AE6">_xlfn.XLOOKUP(AE$5^$H6,$A$4:$A$1711^$B$4:$B$1711,$D$4:$D$1711,NA(),0,1)</f>
        <v>2584</v>
      </c>
      <c r="AF6" s="5" cm="1">
        <f t="array" ref="AF6">_xlfn.XLOOKUP(AF$5^$H6,$A$4:$A$1711^$B$4:$B$1711,$D$4:$D$1711,NA(),0,1)</f>
        <v>2533</v>
      </c>
      <c r="AG6" s="5" cm="1">
        <f t="array" ref="AG6">_xlfn.XLOOKUP(AG$5^$H6,$A$4:$A$1711^$B$4:$B$1711,$D$4:$D$1711,NA(),0,1)</f>
        <v>3039</v>
      </c>
      <c r="AH6" s="5" cm="1">
        <f t="array" ref="AH6">_xlfn.XLOOKUP(AH$5^$H6,$A$4:$A$1711^$B$4:$B$1711,$D$4:$D$1711,NA(),0,1)</f>
        <v>3196</v>
      </c>
      <c r="AI6" s="5" cm="1">
        <f t="array" ref="AI6">_xlfn.XLOOKUP(AI$5^$H6,$A$4:$A$1711^$B$4:$B$1711,$D$4:$D$1711,NA(),0,1)</f>
        <v>3016</v>
      </c>
      <c r="AJ6" s="5" cm="1">
        <f t="array" ref="AJ6">_xlfn.XLOOKUP(AJ$5^$H6,$A$4:$A$1711^$B$4:$B$1711,$D$4:$D$1711,NA(),0,1)</f>
        <v>2820</v>
      </c>
      <c r="AK6" s="5" cm="1">
        <f t="array" ref="AK6">_xlfn.XLOOKUP(AK$5^$H6,$A$4:$A$1711^$B$4:$B$1711,$D$4:$D$1711,NA(),0,1)</f>
        <v>3182</v>
      </c>
      <c r="AL6" s="5" cm="1">
        <f t="array" ref="AL6">_xlfn.XLOOKUP(AL$5^$H6,$A$4:$A$1711^$B$4:$B$1711,$D$4:$D$1711,NA(),0,1)</f>
        <v>3115</v>
      </c>
      <c r="AM6" s="5" cm="1">
        <f t="array" ref="AM6">_xlfn.XLOOKUP(AM$5^$H6,$A$4:$A$1711^$B$4:$B$1711,$D$4:$D$1711,NA(),0,1)</f>
        <v>3174</v>
      </c>
    </row>
    <row r="7" spans="1:39" x14ac:dyDescent="0.25">
      <c r="A7" s="5">
        <f t="shared" si="0"/>
        <v>1994</v>
      </c>
      <c r="B7" s="5">
        <f t="shared" si="1"/>
        <v>5</v>
      </c>
      <c r="C7" s="2">
        <v>34362</v>
      </c>
      <c r="D7" s="1">
        <v>1662</v>
      </c>
      <c r="H7">
        <f>H6+1</f>
        <v>3</v>
      </c>
      <c r="I7" s="5" cm="1">
        <f t="array" ref="I7">_xlfn.XLOOKUP(I$5^$H7,$A$4:$A$1711^B5:B1712,D5:D1712,NA(),0,1)</f>
        <v>1775</v>
      </c>
      <c r="J7" s="5" cm="1">
        <f t="array" ref="J7">_xlfn.XLOOKUP(J$5^$H7,$A$4:$A$1711^$B$4:$B$1711,$D$4:$D$1711,NA(),0,1)</f>
        <v>1805</v>
      </c>
      <c r="K7" s="5" cm="1">
        <f t="array" ref="K7">_xlfn.XLOOKUP(K$5^$H7,$A$4:$A$1711^$B$4:$B$1711,$D$4:$D$1711,NA(),0,1)</f>
        <v>1957</v>
      </c>
      <c r="L7" s="5" cm="1">
        <f t="array" ref="L7">_xlfn.XLOOKUP(L$5^$H7,$A$4:$A$1711^$B$4:$B$1711,$D$4:$D$1711,NA(),0,1)</f>
        <v>2265</v>
      </c>
      <c r="M7" s="5" cm="1">
        <f t="array" ref="M7">_xlfn.XLOOKUP(M$5^$H7,$A$4:$A$1711^$B$4:$B$1711,$D$4:$D$1711,NA(),0,1)</f>
        <v>2310</v>
      </c>
      <c r="N7" s="5" cm="1">
        <f t="array" ref="N7">_xlfn.XLOOKUP(N$5^$H7,$A$4:$A$1711^$B$4:$B$1711,$D$4:$D$1711,NA(),0,1)</f>
        <v>1452</v>
      </c>
      <c r="O7" s="5" cm="1">
        <f t="array" ref="O7">_xlfn.XLOOKUP(O$5^$H7,$A$4:$A$1711^$B$4:$B$1711,$D$4:$D$1711,NA(),0,1)</f>
        <v>2522</v>
      </c>
      <c r="P7" s="5" cm="1">
        <f t="array" ref="P7">_xlfn.XLOOKUP(P$5^$H7,$A$4:$A$1711^$B$4:$B$1711,$D$4:$D$1711,NA(),0,1)</f>
        <v>1976</v>
      </c>
      <c r="Q7" s="5" cm="1">
        <f t="array" ref="Q7">_xlfn.XLOOKUP(Q$5^$H7,$A$4:$A$1711^$B$4:$B$1711,$D$4:$D$1711,NA(),0,1)</f>
        <v>2258</v>
      </c>
      <c r="R7" s="5" cm="1">
        <f t="array" ref="R7">_xlfn.XLOOKUP(R$5^$H7,$A$4:$A$1711^$B$4:$B$1711,$D$4:$D$1711,NA(),0,1)</f>
        <v>2500</v>
      </c>
      <c r="S7" s="5" cm="1">
        <f t="array" ref="S7">_xlfn.XLOOKUP(S$5^$H7,$A$4:$A$1711^$B$4:$B$1711,$D$4:$D$1711,NA(),0,1)</f>
        <v>2494</v>
      </c>
      <c r="T7" s="5" cm="1">
        <f t="array" ref="T7">_xlfn.XLOOKUP(T$5^$H7,$A$4:$A$1711^$B$4:$B$1711,$D$4:$D$1711,NA(),0,1)</f>
        <v>2757</v>
      </c>
      <c r="U7" s="5" cm="1">
        <f t="array" ref="U7">_xlfn.XLOOKUP(U$5^$H7,$A$4:$A$1711^$B$4:$B$1711,$D$4:$D$1711,NA(),0,1)</f>
        <v>2536</v>
      </c>
      <c r="V7" s="5" cm="1">
        <f t="array" ref="V7">_xlfn.XLOOKUP(V$5^$H7,$A$4:$A$1711^$B$4:$B$1711,$D$4:$D$1711,NA(),0,1)</f>
        <v>2560</v>
      </c>
      <c r="W7" s="5" cm="1">
        <f t="array" ref="W7">_xlfn.XLOOKUP(W$5^$H7,$A$4:$A$1711^$B$4:$B$1711,$D$4:$D$1711,NA(),0,1)</f>
        <v>2607</v>
      </c>
      <c r="X7" s="5" cm="1">
        <f t="array" ref="X7">_xlfn.XLOOKUP(X$5^$H7,$A$4:$A$1711^$B$4:$B$1711,$D$4:$D$1711,NA(),0,1)</f>
        <v>2716</v>
      </c>
      <c r="Y7" s="5" cm="1">
        <f t="array" ref="Y7">_xlfn.XLOOKUP(Y$5^$H7,$A$4:$A$1711^$B$4:$B$1711,$D$4:$D$1711,NA(),0,1)</f>
        <v>3098</v>
      </c>
      <c r="Z7" s="5" cm="1">
        <f t="array" ref="Z7">_xlfn.XLOOKUP(Z$5^$H7,$A$4:$A$1711^$B$4:$B$1711,$D$4:$D$1711,NA(),0,1)</f>
        <v>2996</v>
      </c>
      <c r="AA7" s="5" cm="1">
        <f t="array" ref="AA7">_xlfn.XLOOKUP(AA$5^$H7,$A$4:$A$1711^$B$4:$B$1711,$D$4:$D$1711,NA(),0,1)</f>
        <v>2424</v>
      </c>
      <c r="AB7" s="5" cm="1">
        <f t="array" ref="AB7">_xlfn.XLOOKUP(AB$5^$H7,$A$4:$A$1711^$B$4:$B$1711,$D$4:$D$1711,NA(),0,1)</f>
        <v>2637</v>
      </c>
      <c r="AC7" s="5" cm="1">
        <f t="array" ref="AC7">_xlfn.XLOOKUP(AC$5^$H7,$A$4:$A$1711^$B$4:$B$1711,$D$4:$D$1711,NA(),0,1)</f>
        <v>3297</v>
      </c>
      <c r="AD7" s="5" cm="1">
        <f t="array" ref="AD7">_xlfn.XLOOKUP(AD$5^$H7,$A$4:$A$1711^$B$4:$B$1711,$D$4:$D$1711,NA(),0,1)</f>
        <v>2798</v>
      </c>
      <c r="AE7" s="5" cm="1">
        <f t="array" ref="AE7">_xlfn.XLOOKUP(AE$5^$H7,$A$4:$A$1711^$B$4:$B$1711,$D$4:$D$1711,NA(),0,1)</f>
        <v>2296</v>
      </c>
      <c r="AF7" s="5" cm="1">
        <f t="array" ref="AF7">_xlfn.XLOOKUP(AF$5^$H7,$A$4:$A$1711^$B$4:$B$1711,$D$4:$D$1711,NA(),0,1)</f>
        <v>2370</v>
      </c>
      <c r="AG7" s="5" cm="1">
        <f t="array" ref="AG7">_xlfn.XLOOKUP(AG$5^$H7,$A$4:$A$1711^$B$4:$B$1711,$D$4:$D$1711,NA(),0,1)</f>
        <v>2947</v>
      </c>
      <c r="AH7" s="5" cm="1">
        <f t="array" ref="AH7">_xlfn.XLOOKUP(AH$5^$H7,$A$4:$A$1711^$B$4:$B$1711,$D$4:$D$1711,NA(),0,1)</f>
        <v>3009</v>
      </c>
      <c r="AI7" s="5" cm="1">
        <f t="array" ref="AI7">_xlfn.XLOOKUP(AI$5^$H7,$A$4:$A$1711^$B$4:$B$1711,$D$4:$D$1711,NA(),0,1)</f>
        <v>2810</v>
      </c>
      <c r="AJ7" s="5" cm="1">
        <f t="array" ref="AJ7">_xlfn.XLOOKUP(AJ$5^$H7,$A$4:$A$1711^$B$4:$B$1711,$D$4:$D$1711,NA(),0,1)</f>
        <v>2734</v>
      </c>
      <c r="AK7" s="5" cm="1">
        <f t="array" ref="AK7">_xlfn.XLOOKUP(AK$5^$H7,$A$4:$A$1711^$B$4:$B$1711,$D$4:$D$1711,NA(),0,1)</f>
        <v>2856</v>
      </c>
      <c r="AL7" s="5" cm="1">
        <f t="array" ref="AL7">_xlfn.XLOOKUP(AL$5^$H7,$A$4:$A$1711^$B$4:$B$1711,$D$4:$D$1711,NA(),0,1)</f>
        <v>2892</v>
      </c>
      <c r="AM7" s="5" cm="1">
        <f t="array" ref="AM7">_xlfn.XLOOKUP(AM$5^$H7,$A$4:$A$1711^$B$4:$B$1711,$D$4:$D$1711,NA(),0,1)</f>
        <v>3054</v>
      </c>
    </row>
    <row r="8" spans="1:39" x14ac:dyDescent="0.25">
      <c r="A8" s="5">
        <f t="shared" si="0"/>
        <v>1994</v>
      </c>
      <c r="B8" s="5">
        <f t="shared" si="1"/>
        <v>6</v>
      </c>
      <c r="C8" s="2">
        <v>34369</v>
      </c>
      <c r="D8" s="1">
        <v>1470</v>
      </c>
      <c r="H8" s="5">
        <f t="shared" ref="H8:H57" si="3">H7+1</f>
        <v>4</v>
      </c>
      <c r="I8" s="5" cm="1">
        <f t="array" ref="I8">_xlfn.XLOOKUP(I$5^$H8,$A$4:$A$1711^B6:B1713,D6:D1713,NA(),0,1)</f>
        <v>1618</v>
      </c>
      <c r="J8" s="5" cm="1">
        <f t="array" ref="J8">_xlfn.XLOOKUP(J$5^$H8,$A$4:$A$1711^$B$4:$B$1711,$D$4:$D$1711,NA(),0,1)</f>
        <v>1658</v>
      </c>
      <c r="K8" s="5" cm="1">
        <f t="array" ref="K8">_xlfn.XLOOKUP(K$5^$H8,$A$4:$A$1711^$B$4:$B$1711,$D$4:$D$1711,NA(),0,1)</f>
        <v>1823</v>
      </c>
      <c r="L8" s="5" cm="1">
        <f t="array" ref="L8">_xlfn.XLOOKUP(L$5^$H8,$A$4:$A$1711^$B$4:$B$1711,$D$4:$D$1711,NA(),0,1)</f>
        <v>2173</v>
      </c>
      <c r="M8" s="5" cm="1">
        <f t="array" ref="M8">_xlfn.XLOOKUP(M$5^$H8,$A$4:$A$1711^$B$4:$B$1711,$D$4:$D$1711,NA(),0,1)</f>
        <v>2109</v>
      </c>
      <c r="N8" s="5" cm="1">
        <f t="array" ref="N8">_xlfn.XLOOKUP(N$5^$H8,$A$4:$A$1711^$B$4:$B$1711,$D$4:$D$1711,NA(),0,1)</f>
        <v>1333</v>
      </c>
      <c r="O8" s="5" cm="1">
        <f t="array" ref="O8">_xlfn.XLOOKUP(O$5^$H8,$A$4:$A$1711^$B$4:$B$1711,$D$4:$D$1711,NA(),0,1)</f>
        <v>2410</v>
      </c>
      <c r="P8" s="5" cm="1">
        <f t="array" ref="P8">_xlfn.XLOOKUP(P$5^$H8,$A$4:$A$1711^$B$4:$B$1711,$D$4:$D$1711,NA(),0,1)</f>
        <v>1729</v>
      </c>
      <c r="Q8" s="5" cm="1">
        <f t="array" ref="Q8">_xlfn.XLOOKUP(Q$5^$H8,$A$4:$A$1711^$B$4:$B$1711,$D$4:$D$1711,NA(),0,1)</f>
        <v>2063</v>
      </c>
      <c r="R8" s="5" cm="1">
        <f t="array" ref="R8">_xlfn.XLOOKUP(R$5^$H8,$A$4:$A$1711^$B$4:$B$1711,$D$4:$D$1711,NA(),0,1)</f>
        <v>2270</v>
      </c>
      <c r="S8" s="5" cm="1">
        <f t="array" ref="S8">_xlfn.XLOOKUP(S$5^$H8,$A$4:$A$1711^$B$4:$B$1711,$D$4:$D$1711,NA(),0,1)</f>
        <v>2406</v>
      </c>
      <c r="T8" s="5" cm="1">
        <f t="array" ref="T8">_xlfn.XLOOKUP(T$5^$H8,$A$4:$A$1711^$B$4:$B$1711,$D$4:$D$1711,NA(),0,1)</f>
        <v>2571</v>
      </c>
      <c r="U8" s="5" cm="1">
        <f t="array" ref="U8">_xlfn.XLOOKUP(U$5^$H8,$A$4:$A$1711^$B$4:$B$1711,$D$4:$D$1711,NA(),0,1)</f>
        <v>2262</v>
      </c>
      <c r="V8" s="5" cm="1">
        <f t="array" ref="V8">_xlfn.XLOOKUP(V$5^$H8,$A$4:$A$1711^$B$4:$B$1711,$D$4:$D$1711,NA(),0,1)</f>
        <v>2374</v>
      </c>
      <c r="W8" s="5" cm="1">
        <f t="array" ref="W8">_xlfn.XLOOKUP(W$5^$H8,$A$4:$A$1711^$B$4:$B$1711,$D$4:$D$1711,NA(),0,1)</f>
        <v>2521</v>
      </c>
      <c r="X8" s="5" cm="1">
        <f t="array" ref="X8">_xlfn.XLOOKUP(X$5^$H8,$A$4:$A$1711^$B$4:$B$1711,$D$4:$D$1711,NA(),0,1)</f>
        <v>2543</v>
      </c>
      <c r="Y8" s="5" cm="1">
        <f t="array" ref="Y8">_xlfn.XLOOKUP(Y$5^$H8,$A$4:$A$1711^$B$4:$B$1711,$D$4:$D$1711,NA(),0,1)</f>
        <v>2966</v>
      </c>
      <c r="Z8" s="5" cm="1">
        <f t="array" ref="Z8">_xlfn.XLOOKUP(Z$5^$H8,$A$4:$A$1711^$B$4:$B$1711,$D$4:$D$1711,NA(),0,1)</f>
        <v>2802</v>
      </c>
      <c r="AA8" s="5" cm="1">
        <f t="array" ref="AA8">_xlfn.XLOOKUP(AA$5^$H8,$A$4:$A$1711^$B$4:$B$1711,$D$4:$D$1711,NA(),0,1)</f>
        <v>2184</v>
      </c>
      <c r="AB8" s="5" cm="1">
        <f t="array" ref="AB8">_xlfn.XLOOKUP(AB$5^$H8,$A$4:$A$1711^$B$4:$B$1711,$D$4:$D$1711,NA(),0,1)</f>
        <v>2543</v>
      </c>
      <c r="AC8" s="5" cm="1">
        <f t="array" ref="AC8">_xlfn.XLOOKUP(AC$5^$H8,$A$4:$A$1711^$B$4:$B$1711,$D$4:$D$1711,NA(),0,1)</f>
        <v>3086</v>
      </c>
      <c r="AD8" s="5" cm="1">
        <f t="array" ref="AD8">_xlfn.XLOOKUP(AD$5^$H8,$A$4:$A$1711^$B$4:$B$1711,$D$4:$D$1711,NA(),0,1)</f>
        <v>2711</v>
      </c>
      <c r="AE8" s="5" cm="1">
        <f t="array" ref="AE8">_xlfn.XLOOKUP(AE$5^$H8,$A$4:$A$1711^$B$4:$B$1711,$D$4:$D$1711,NA(),0,1)</f>
        <v>2197</v>
      </c>
      <c r="AF8" s="5" cm="1">
        <f t="array" ref="AF8">_xlfn.XLOOKUP(AF$5^$H8,$A$4:$A$1711^$B$4:$B$1711,$D$4:$D$1711,NA(),0,1)</f>
        <v>2197</v>
      </c>
      <c r="AG8" s="5" cm="1">
        <f t="array" ref="AG8">_xlfn.XLOOKUP(AG$5^$H8,$A$4:$A$1711^$B$4:$B$1711,$D$4:$D$1711,NA(),0,1)</f>
        <v>2746</v>
      </c>
      <c r="AH8" s="5" cm="1">
        <f t="array" ref="AH8">_xlfn.XLOOKUP(AH$5^$H8,$A$4:$A$1711^$B$4:$B$1711,$D$4:$D$1711,NA(),0,1)</f>
        <v>2881</v>
      </c>
      <c r="AI8" s="5" cm="1">
        <f t="array" ref="AI8">_xlfn.XLOOKUP(AI$5^$H8,$A$4:$A$1711^$B$4:$B$1711,$D$4:$D$1711,NA(),0,1)</f>
        <v>2591</v>
      </c>
      <c r="AJ8" s="5" cm="1">
        <f t="array" ref="AJ8">_xlfn.XLOOKUP(AJ$5^$H8,$A$4:$A$1711^$B$4:$B$1711,$D$4:$D$1711,NA(),0,1)</f>
        <v>2583</v>
      </c>
      <c r="AK8" s="5" cm="1">
        <f t="array" ref="AK8">_xlfn.XLOOKUP(AK$5^$H8,$A$4:$A$1711^$B$4:$B$1711,$D$4:$D$1711,NA(),0,1)</f>
        <v>2659</v>
      </c>
      <c r="AL8" s="5" cm="1">
        <f t="array" ref="AL8">_xlfn.XLOOKUP(AL$5^$H8,$A$4:$A$1711^$B$4:$B$1711,$D$4:$D$1711,NA(),0,1)</f>
        <v>2571</v>
      </c>
      <c r="AM8" s="5" cm="1">
        <f t="array" ref="AM8">_xlfn.XLOOKUP(AM$5^$H8,$A$4:$A$1711^$B$4:$B$1711,$D$4:$D$1711,NA(),0,1)</f>
        <v>2813</v>
      </c>
    </row>
    <row r="9" spans="1:39" x14ac:dyDescent="0.25">
      <c r="A9" s="5">
        <f t="shared" si="0"/>
        <v>1994</v>
      </c>
      <c r="B9" s="5">
        <f t="shared" si="1"/>
        <v>7</v>
      </c>
      <c r="C9" s="2">
        <v>34376</v>
      </c>
      <c r="D9" s="1">
        <v>1303</v>
      </c>
      <c r="H9" s="5">
        <f t="shared" si="3"/>
        <v>5</v>
      </c>
      <c r="I9" s="5" cm="1">
        <f t="array" ref="I9">_xlfn.XLOOKUP(I$5^$H9,$A$4:$A$1711^B7:B1714,D7:D1714,NA(),0,1)</f>
        <v>1409</v>
      </c>
      <c r="J9" s="5" cm="1">
        <f t="array" ref="J9">_xlfn.XLOOKUP(J$5^$H9,$A$4:$A$1711^$B$4:$B$1711,$D$4:$D$1711,NA(),0,1)</f>
        <v>1496</v>
      </c>
      <c r="K9" s="5" cm="1">
        <f t="array" ref="K9">_xlfn.XLOOKUP(K$5^$H9,$A$4:$A$1711^$B$4:$B$1711,$D$4:$D$1711,NA(),0,1)</f>
        <v>1724</v>
      </c>
      <c r="L9" s="5" cm="1">
        <f t="array" ref="L9">_xlfn.XLOOKUP(L$5^$H9,$A$4:$A$1711^$B$4:$B$1711,$D$4:$D$1711,NA(),0,1)</f>
        <v>2099</v>
      </c>
      <c r="M9" s="5" cm="1">
        <f t="array" ref="M9">_xlfn.XLOOKUP(M$5^$H9,$A$4:$A$1711^$B$4:$B$1711,$D$4:$D$1711,NA(),0,1)</f>
        <v>1856</v>
      </c>
      <c r="N9" s="5" cm="1">
        <f t="array" ref="N9">_xlfn.XLOOKUP(N$5^$H9,$A$4:$A$1711^$B$4:$B$1711,$D$4:$D$1711,NA(),0,1)</f>
        <v>1238</v>
      </c>
      <c r="O9" s="5" cm="1">
        <f t="array" ref="O9">_xlfn.XLOOKUP(O$5^$H9,$A$4:$A$1711^$B$4:$B$1711,$D$4:$D$1711,NA(),0,1)</f>
        <v>2332</v>
      </c>
      <c r="P9" s="5" cm="1">
        <f t="array" ref="P9">_xlfn.XLOOKUP(P$5^$H9,$A$4:$A$1711^$B$4:$B$1711,$D$4:$D$1711,NA(),0,1)</f>
        <v>1521</v>
      </c>
      <c r="Q9" s="5" cm="1">
        <f t="array" ref="Q9">_xlfn.XLOOKUP(Q$5^$H9,$A$4:$A$1711^$B$4:$B$1711,$D$4:$D$1711,NA(),0,1)</f>
        <v>1827</v>
      </c>
      <c r="R9" s="5" cm="1">
        <f t="array" ref="R9">_xlfn.XLOOKUP(R$5^$H9,$A$4:$A$1711^$B$4:$B$1711,$D$4:$D$1711,NA(),0,1)</f>
        <v>2083</v>
      </c>
      <c r="S9" s="5" cm="1">
        <f t="array" ref="S9">_xlfn.XLOOKUP(S$5^$H9,$A$4:$A$1711^$B$4:$B$1711,$D$4:$D$1711,NA(),0,1)</f>
        <v>2368</v>
      </c>
      <c r="T9" s="5" cm="1">
        <f t="array" ref="T9">_xlfn.XLOOKUP(T$5^$H9,$A$4:$A$1711^$B$4:$B$1711,$D$4:$D$1711,NA(),0,1)</f>
        <v>2347</v>
      </c>
      <c r="U9" s="5" cm="1">
        <f t="array" ref="U9">_xlfn.XLOOKUP(U$5^$H9,$A$4:$A$1711^$B$4:$B$1711,$D$4:$D$1711,NA(),0,1)</f>
        <v>2062</v>
      </c>
      <c r="V9" s="5" cm="1">
        <f t="array" ref="V9">_xlfn.XLOOKUP(V$5^$H9,$A$4:$A$1711^$B$4:$B$1711,$D$4:$D$1711,NA(),0,1)</f>
        <v>2179</v>
      </c>
      <c r="W9" s="5" cm="1">
        <f t="array" ref="W9">_xlfn.XLOOKUP(W$5^$H9,$A$4:$A$1711^$B$4:$B$1711,$D$4:$D$1711,NA(),0,1)</f>
        <v>2406</v>
      </c>
      <c r="X9" s="5" cm="1">
        <f t="array" ref="X9">_xlfn.XLOOKUP(X$5^$H9,$A$4:$A$1711^$B$4:$B$1711,$D$4:$D$1711,NA(),0,1)</f>
        <v>2355</v>
      </c>
      <c r="Y9" s="5" cm="1">
        <f t="array" ref="Y9">_xlfn.XLOOKUP(Y$5^$H9,$A$4:$A$1711^$B$4:$B$1711,$D$4:$D$1711,NA(),0,1)</f>
        <v>2888</v>
      </c>
      <c r="Z9" s="5" cm="1">
        <f t="array" ref="Z9">_xlfn.XLOOKUP(Z$5^$H9,$A$4:$A$1711^$B$4:$B$1711,$D$4:$D$1711,NA(),0,1)</f>
        <v>2684</v>
      </c>
      <c r="AA9" s="5" cm="1">
        <f t="array" ref="AA9">_xlfn.XLOOKUP(AA$5^$H9,$A$4:$A$1711^$B$4:$B$1711,$D$4:$D$1711,NA(),0,1)</f>
        <v>1924</v>
      </c>
      <c r="AB9" s="5" cm="1">
        <f t="array" ref="AB9">_xlfn.XLOOKUP(AB$5^$H9,$A$4:$A$1711^$B$4:$B$1711,$D$4:$D$1711,NA(),0,1)</f>
        <v>2428</v>
      </c>
      <c r="AC9" s="5" cm="1">
        <f t="array" ref="AC9">_xlfn.XLOOKUP(AC$5^$H9,$A$4:$A$1711^$B$4:$B$1711,$D$4:$D$1711,NA(),0,1)</f>
        <v>2934</v>
      </c>
      <c r="AD9" s="5" cm="1">
        <f t="array" ref="AD9">_xlfn.XLOOKUP(AD$5^$H9,$A$4:$A$1711^$B$4:$B$1711,$D$4:$D$1711,NA(),0,1)</f>
        <v>2559</v>
      </c>
      <c r="AE9" s="5" cm="1">
        <f t="array" ref="AE9">_xlfn.XLOOKUP(AE$5^$H9,$A$4:$A$1711^$B$4:$B$1711,$D$4:$D$1711,NA(),0,1)</f>
        <v>2078</v>
      </c>
      <c r="AF9" s="5" cm="1">
        <f t="array" ref="AF9">_xlfn.XLOOKUP(AF$5^$H9,$A$4:$A$1711^$B$4:$B$1711,$D$4:$D$1711,NA(),0,1)</f>
        <v>1960</v>
      </c>
      <c r="AG9" s="5" cm="1">
        <f t="array" ref="AG9">_xlfn.XLOOKUP(AG$5^$H9,$A$4:$A$1711^$B$4:$B$1711,$D$4:$D$1711,NA(),0,1)</f>
        <v>2609</v>
      </c>
      <c r="AH9" s="5" cm="1">
        <f t="array" ref="AH9">_xlfn.XLOOKUP(AH$5^$H9,$A$4:$A$1711^$B$4:$B$1711,$D$4:$D$1711,NA(),0,1)</f>
        <v>2689</v>
      </c>
      <c r="AI9" s="5" cm="1">
        <f t="array" ref="AI9">_xlfn.XLOOKUP(AI$5^$H9,$A$4:$A$1711^$B$4:$B$1711,$D$4:$D$1711,NA(),0,1)</f>
        <v>2323</v>
      </c>
      <c r="AJ9" s="5" cm="1">
        <f t="array" ref="AJ9">_xlfn.XLOOKUP(AJ$5^$H9,$A$4:$A$1711^$B$4:$B$1711,$D$4:$D$1711,NA(),0,1)</f>
        <v>2366</v>
      </c>
      <c r="AK9" s="5" cm="1">
        <f t="array" ref="AK9">_xlfn.XLOOKUP(AK$5^$H9,$A$4:$A$1711^$B$4:$B$1711,$D$4:$D$1711,NA(),0,1)</f>
        <v>2584</v>
      </c>
      <c r="AL9" s="5" cm="1">
        <f t="array" ref="AL9">_xlfn.XLOOKUP(AL$5^$H9,$A$4:$A$1711^$B$4:$B$1711,$D$4:$D$1711,NA(),0,1)</f>
        <v>2397</v>
      </c>
      <c r="AM9" s="5" cm="1">
        <f t="array" ref="AM9">_xlfn.XLOOKUP(AM$5^$H9,$A$4:$A$1711^$B$4:$B$1711,$D$4:$D$1711,NA(),0,1)</f>
        <v>2454</v>
      </c>
    </row>
    <row r="10" spans="1:39" x14ac:dyDescent="0.25">
      <c r="A10" s="5">
        <f t="shared" si="0"/>
        <v>1994</v>
      </c>
      <c r="B10" s="5">
        <f t="shared" si="1"/>
        <v>8</v>
      </c>
      <c r="C10" s="2">
        <v>34383</v>
      </c>
      <c r="D10" s="1">
        <v>1203</v>
      </c>
      <c r="H10" s="5">
        <f t="shared" si="3"/>
        <v>6</v>
      </c>
      <c r="I10" s="5" cm="1">
        <f t="array" ref="I10">_xlfn.XLOOKUP(I$5^$H10,$A$4:$A$1711^B8:B1715,D8:D1715,NA(),0,1)</f>
        <v>1191</v>
      </c>
      <c r="J10" s="5" cm="1">
        <f t="array" ref="J10">_xlfn.XLOOKUP(J$5^$H10,$A$4:$A$1711^$B$4:$B$1711,$D$4:$D$1711,NA(),0,1)</f>
        <v>1428</v>
      </c>
      <c r="K10" s="5" cm="1">
        <f t="array" ref="K10">_xlfn.XLOOKUP(K$5^$H10,$A$4:$A$1711^$B$4:$B$1711,$D$4:$D$1711,NA(),0,1)</f>
        <v>1643</v>
      </c>
      <c r="L10" s="5" cm="1">
        <f t="array" ref="L10">_xlfn.XLOOKUP(L$5^$H10,$A$4:$A$1711^$B$4:$B$1711,$D$4:$D$1711,NA(),0,1)</f>
        <v>2017</v>
      </c>
      <c r="M10" s="5" cm="1">
        <f t="array" ref="M10">_xlfn.XLOOKUP(M$5^$H10,$A$4:$A$1711^$B$4:$B$1711,$D$4:$D$1711,NA(),0,1)</f>
        <v>1647</v>
      </c>
      <c r="N10" s="5" cm="1">
        <f t="array" ref="N10">_xlfn.XLOOKUP(N$5^$H10,$A$4:$A$1711^$B$4:$B$1711,$D$4:$D$1711,NA(),0,1)</f>
        <v>1151</v>
      </c>
      <c r="O10" s="5" cm="1">
        <f t="array" ref="O10">_xlfn.XLOOKUP(O$5^$H10,$A$4:$A$1711^$B$4:$B$1711,$D$4:$D$1711,NA(),0,1)</f>
        <v>2160</v>
      </c>
      <c r="P10" s="5" cm="1">
        <f t="array" ref="P10">_xlfn.XLOOKUP(P$5^$H10,$A$4:$A$1711^$B$4:$B$1711,$D$4:$D$1711,NA(),0,1)</f>
        <v>1371</v>
      </c>
      <c r="Q10" s="5" cm="1">
        <f t="array" ref="Q10">_xlfn.XLOOKUP(Q$5^$H10,$A$4:$A$1711^$B$4:$B$1711,$D$4:$D$1711,NA(),0,1)</f>
        <v>1603</v>
      </c>
      <c r="R10" s="5" cm="1">
        <f t="array" ref="R10">_xlfn.XLOOKUP(R$5^$H10,$A$4:$A$1711^$B$4:$B$1711,$D$4:$D$1711,NA(),0,1)</f>
        <v>1906</v>
      </c>
      <c r="S10" s="5" cm="1">
        <f t="array" ref="S10">_xlfn.XLOOKUP(S$5^$H10,$A$4:$A$1711^$B$4:$B$1711,$D$4:$D$1711,NA(),0,1)</f>
        <v>2266</v>
      </c>
      <c r="T10" s="5" cm="1">
        <f t="array" ref="T10">_xlfn.XLOOKUP(T$5^$H10,$A$4:$A$1711^$B$4:$B$1711,$D$4:$D$1711,NA(),0,1)</f>
        <v>2088</v>
      </c>
      <c r="U10" s="5" cm="1">
        <f t="array" ref="U10">_xlfn.XLOOKUP(U$5^$H10,$A$4:$A$1711^$B$4:$B$1711,$D$4:$D$1711,NA(),0,1)</f>
        <v>1942</v>
      </c>
      <c r="V10" s="5" cm="1">
        <f t="array" ref="V10">_xlfn.XLOOKUP(V$5^$H10,$A$4:$A$1711^$B$4:$B$1711,$D$4:$D$1711,NA(),0,1)</f>
        <v>2020</v>
      </c>
      <c r="W10" s="5" cm="1">
        <f t="array" ref="W10">_xlfn.XLOOKUP(W$5^$H10,$A$4:$A$1711^$B$4:$B$1711,$D$4:$D$1711,NA(),0,1)</f>
        <v>2214</v>
      </c>
      <c r="X10" s="5" cm="1">
        <f t="array" ref="X10">_xlfn.XLOOKUP(X$5^$H10,$A$4:$A$1711^$B$4:$B$1711,$D$4:$D$1711,NA(),0,1)</f>
        <v>2144</v>
      </c>
      <c r="Y10" s="5" cm="1">
        <f t="array" ref="Y10">_xlfn.XLOOKUP(Y$5^$H10,$A$4:$A$1711^$B$4:$B$1711,$D$4:$D$1711,NA(),0,1)</f>
        <v>2761</v>
      </c>
      <c r="Z10" s="5" cm="1">
        <f t="array" ref="Z10">_xlfn.XLOOKUP(Z$5^$H10,$A$4:$A$1711^$B$4:$B$1711,$D$4:$D$1711,NA(),0,1)</f>
        <v>2526</v>
      </c>
      <c r="AA10" s="5" cm="1">
        <f t="array" ref="AA10">_xlfn.XLOOKUP(AA$5^$H10,$A$4:$A$1711^$B$4:$B$1711,$D$4:$D$1711,NA(),0,1)</f>
        <v>1693</v>
      </c>
      <c r="AB10" s="5" cm="1">
        <f t="array" ref="AB10">_xlfn.XLOOKUP(AB$5^$H10,$A$4:$A$1711^$B$4:$B$1711,$D$4:$D$1711,NA(),0,1)</f>
        <v>2268</v>
      </c>
      <c r="AC10" s="5" cm="1">
        <f t="array" ref="AC10">_xlfn.XLOOKUP(AC$5^$H10,$A$4:$A$1711^$B$4:$B$1711,$D$4:$D$1711,NA(),0,1)</f>
        <v>2864</v>
      </c>
      <c r="AD10" s="5" cm="1">
        <f t="array" ref="AD10">_xlfn.XLOOKUP(AD$5^$H10,$A$4:$A$1711^$B$4:$B$1711,$D$4:$D$1711,NA(),0,1)</f>
        <v>2445</v>
      </c>
      <c r="AE10" s="5" cm="1">
        <f t="array" ref="AE10">_xlfn.XLOOKUP(AE$5^$H10,$A$4:$A$1711^$B$4:$B$1711,$D$4:$D$1711,NA(),0,1)</f>
        <v>1884</v>
      </c>
      <c r="AF10" s="5" cm="1">
        <f t="array" ref="AF10">_xlfn.XLOOKUP(AF$5^$H10,$A$4:$A$1711^$B$4:$B$1711,$D$4:$D$1711,NA(),0,1)</f>
        <v>1882</v>
      </c>
      <c r="AG10" s="5" cm="1">
        <f t="array" ref="AG10">_xlfn.XLOOKUP(AG$5^$H10,$A$4:$A$1711^$B$4:$B$1711,$D$4:$D$1711,NA(),0,1)</f>
        <v>2494</v>
      </c>
      <c r="AH10" s="5" cm="1">
        <f t="array" ref="AH10">_xlfn.XLOOKUP(AH$5^$H10,$A$4:$A$1711^$B$4:$B$1711,$D$4:$D$1711,NA(),0,1)</f>
        <v>2518</v>
      </c>
      <c r="AI10" s="5" cm="1">
        <f t="array" ref="AI10">_xlfn.XLOOKUP(AI$5^$H10,$A$4:$A$1711^$B$4:$B$1711,$D$4:$D$1711,NA(),0,1)</f>
        <v>2101</v>
      </c>
      <c r="AJ10" s="5" cm="1">
        <f t="array" ref="AJ10">_xlfn.XLOOKUP(AJ$5^$H10,$A$4:$A$1711^$B$4:$B$1711,$D$4:$D$1711,NA(),0,1)</f>
        <v>2266</v>
      </c>
      <c r="AK10" s="5" cm="1">
        <f t="array" ref="AK10">_xlfn.XLOOKUP(AK$5^$H10,$A$4:$A$1711^$B$4:$B$1711,$D$4:$D$1711,NA(),0,1)</f>
        <v>2530</v>
      </c>
      <c r="AL10" s="5" cm="1">
        <f t="array" ref="AL10">_xlfn.XLOOKUP(AL$5^$H10,$A$4:$A$1711^$B$4:$B$1711,$D$4:$D$1711,NA(),0,1)</f>
        <v>2297</v>
      </c>
      <c r="AM10" s="5" cm="1">
        <f t="array" ref="AM10">_xlfn.XLOOKUP(AM$5^$H10,$A$4:$A$1711^$B$4:$B$1711,$D$4:$D$1711,NA(),0,1)</f>
        <v>2202</v>
      </c>
    </row>
    <row r="11" spans="1:39" x14ac:dyDescent="0.25">
      <c r="A11" s="5">
        <f t="shared" si="0"/>
        <v>1994</v>
      </c>
      <c r="B11" s="5">
        <f t="shared" si="1"/>
        <v>9</v>
      </c>
      <c r="C11" s="2">
        <v>34390</v>
      </c>
      <c r="D11" s="1">
        <v>1149</v>
      </c>
      <c r="H11" s="5">
        <f t="shared" si="3"/>
        <v>7</v>
      </c>
      <c r="I11" s="5" cm="1">
        <f t="array" ref="I11">_xlfn.XLOOKUP(I$5^$H11,$A$4:$A$1711^B9:B1716,D9:D1716,NA(),0,1)</f>
        <v>1112</v>
      </c>
      <c r="J11" s="5" cm="1">
        <f t="array" ref="J11">_xlfn.XLOOKUP(J$5^$H11,$A$4:$A$1711^$B$4:$B$1711,$D$4:$D$1711,NA(),0,1)</f>
        <v>1277</v>
      </c>
      <c r="K11" s="5" cm="1">
        <f t="array" ref="K11">_xlfn.XLOOKUP(K$5^$H11,$A$4:$A$1711^$B$4:$B$1711,$D$4:$D$1711,NA(),0,1)</f>
        <v>1554</v>
      </c>
      <c r="L11" s="5" cm="1">
        <f t="array" ref="L11">_xlfn.XLOOKUP(L$5^$H11,$A$4:$A$1711^$B$4:$B$1711,$D$4:$D$1711,NA(),0,1)</f>
        <v>1976</v>
      </c>
      <c r="M11" s="5" cm="1">
        <f t="array" ref="M11">_xlfn.XLOOKUP(M$5^$H11,$A$4:$A$1711^$B$4:$B$1711,$D$4:$D$1711,NA(),0,1)</f>
        <v>1504</v>
      </c>
      <c r="N11" s="5" cm="1">
        <f t="array" ref="N11">_xlfn.XLOOKUP(N$5^$H11,$A$4:$A$1711^$B$4:$B$1711,$D$4:$D$1711,NA(),0,1)</f>
        <v>1075</v>
      </c>
      <c r="O11" s="5" cm="1">
        <f t="array" ref="O11">_xlfn.XLOOKUP(O$5^$H11,$A$4:$A$1711^$B$4:$B$1711,$D$4:$D$1711,NA(),0,1)</f>
        <v>2036</v>
      </c>
      <c r="P11" s="5" cm="1">
        <f t="array" ref="P11">_xlfn.XLOOKUP(P$5^$H11,$A$4:$A$1711^$B$4:$B$1711,$D$4:$D$1711,NA(),0,1)</f>
        <v>1168</v>
      </c>
      <c r="Q11" s="5" cm="1">
        <f t="array" ref="Q11">_xlfn.XLOOKUP(Q$5^$H11,$A$4:$A$1711^$B$4:$B$1711,$D$4:$D$1711,NA(),0,1)</f>
        <v>1431</v>
      </c>
      <c r="R11" s="5" cm="1">
        <f t="array" ref="R11">_xlfn.XLOOKUP(R$5^$H11,$A$4:$A$1711^$B$4:$B$1711,$D$4:$D$1711,NA(),0,1)</f>
        <v>1808</v>
      </c>
      <c r="S11" s="5" cm="1">
        <f t="array" ref="S11">_xlfn.XLOOKUP(S$5^$H11,$A$4:$A$1711^$B$4:$B$1711,$D$4:$D$1711,NA(),0,1)</f>
        <v>2143</v>
      </c>
      <c r="T11" s="5" cm="1">
        <f t="array" ref="T11">_xlfn.XLOOKUP(T$5^$H11,$A$4:$A$1711^$B$4:$B$1711,$D$4:$D$1711,NA(),0,1)</f>
        <v>1865</v>
      </c>
      <c r="U11" s="5" cm="1">
        <f t="array" ref="U11">_xlfn.XLOOKUP(U$5^$H11,$A$4:$A$1711^$B$4:$B$1711,$D$4:$D$1711,NA(),0,1)</f>
        <v>1770</v>
      </c>
      <c r="V11" s="5" cm="1">
        <f t="array" ref="V11">_xlfn.XLOOKUP(V$5^$H11,$A$4:$A$1711^$B$4:$B$1711,$D$4:$D$1711,NA(),0,1)</f>
        <v>1996</v>
      </c>
      <c r="W11" s="5" cm="1">
        <f t="array" ref="W11">_xlfn.XLOOKUP(W$5^$H11,$A$4:$A$1711^$B$4:$B$1711,$D$4:$D$1711,NA(),0,1)</f>
        <v>2026</v>
      </c>
      <c r="X11" s="5" cm="1">
        <f t="array" ref="X11">_xlfn.XLOOKUP(X$5^$H11,$A$4:$A$1711^$B$4:$B$1711,$D$4:$D$1711,NA(),0,1)</f>
        <v>1910</v>
      </c>
      <c r="Y11" s="5" cm="1">
        <f t="array" ref="Y11">_xlfn.XLOOKUP(Y$5^$H11,$A$4:$A$1711^$B$4:$B$1711,$D$4:$D$1711,NA(),0,1)</f>
        <v>2595</v>
      </c>
      <c r="Z11" s="5" cm="1">
        <f t="array" ref="Z11">_xlfn.XLOOKUP(Z$5^$H11,$A$4:$A$1711^$B$4:$B$1711,$D$4:$D$1711,NA(),0,1)</f>
        <v>2400</v>
      </c>
      <c r="AA11" s="5" cm="1">
        <f t="array" ref="AA11">_xlfn.XLOOKUP(AA$5^$H11,$A$4:$A$1711^$B$4:$B$1711,$D$4:$D$1711,NA(),0,1)</f>
        <v>1444</v>
      </c>
      <c r="AB11" s="5" cm="1">
        <f t="array" ref="AB11">_xlfn.XLOOKUP(AB$5^$H11,$A$4:$A$1711^$B$4:$B$1711,$D$4:$D$1711,NA(),0,1)</f>
        <v>2158</v>
      </c>
      <c r="AC11" s="5" cm="1">
        <f t="array" ref="AC11">_xlfn.XLOOKUP(AC$5^$H11,$A$4:$A$1711^$B$4:$B$1711,$D$4:$D$1711,NA(),0,1)</f>
        <v>2701</v>
      </c>
      <c r="AD11" s="5" cm="1">
        <f t="array" ref="AD11">_xlfn.XLOOKUP(AD$5^$H11,$A$4:$A$1711^$B$4:$B$1711,$D$4:$D$1711,NA(),0,1)</f>
        <v>2356</v>
      </c>
      <c r="AE11" s="5" cm="1">
        <f t="array" ref="AE11">_xlfn.XLOOKUP(AE$5^$H11,$A$4:$A$1711^$B$4:$B$1711,$D$4:$D$1711,NA(),0,1)</f>
        <v>1760</v>
      </c>
      <c r="AF11" s="5" cm="1">
        <f t="array" ref="AF11">_xlfn.XLOOKUP(AF$5^$H11,$A$4:$A$1711^$B$4:$B$1711,$D$4:$D$1711,NA(),0,1)</f>
        <v>1705</v>
      </c>
      <c r="AG11" s="5" cm="1">
        <f t="array" ref="AG11">_xlfn.XLOOKUP(AG$5^$H11,$A$4:$A$1711^$B$4:$B$1711,$D$4:$D$1711,NA(),0,1)</f>
        <v>2343</v>
      </c>
      <c r="AH11" s="5" cm="1">
        <f t="array" ref="AH11">_xlfn.XLOOKUP(AH$5^$H11,$A$4:$A$1711^$B$4:$B$1711,$D$4:$D$1711,NA(),0,1)</f>
        <v>2281</v>
      </c>
      <c r="AI11" s="5" cm="1">
        <f t="array" ref="AI11">_xlfn.XLOOKUP(AI$5^$H11,$A$4:$A$1711^$B$4:$B$1711,$D$4:$D$1711,NA(),0,1)</f>
        <v>1911</v>
      </c>
      <c r="AJ11" s="5" cm="1">
        <f t="array" ref="AJ11">_xlfn.XLOOKUP(AJ$5^$H11,$A$4:$A$1711^$B$4:$B$1711,$D$4:$D$1711,NA(),0,1)</f>
        <v>2195</v>
      </c>
      <c r="AK11" s="5" cm="1">
        <f t="array" ref="AK11">_xlfn.XLOOKUP(AK$5^$H11,$A$4:$A$1711^$B$4:$B$1711,$D$4:$D$1711,NA(),0,1)</f>
        <v>2470</v>
      </c>
      <c r="AL11" s="5" cm="1">
        <f t="array" ref="AL11">_xlfn.XLOOKUP(AL$5^$H11,$A$4:$A$1711^$B$4:$B$1711,$D$4:$D$1711,NA(),0,1)</f>
        <v>2101</v>
      </c>
      <c r="AM11" s="5" cm="1">
        <f t="array" ref="AM11">_xlfn.XLOOKUP(AM$5^$H11,$A$4:$A$1711^$B$4:$B$1711,$D$4:$D$1711,NA(),0,1)</f>
        <v>2059</v>
      </c>
    </row>
    <row r="12" spans="1:39" x14ac:dyDescent="0.25">
      <c r="A12" s="5">
        <f t="shared" si="0"/>
        <v>1994</v>
      </c>
      <c r="B12" s="5">
        <f t="shared" si="1"/>
        <v>10</v>
      </c>
      <c r="C12" s="2">
        <v>34397</v>
      </c>
      <c r="D12" s="1">
        <v>1015</v>
      </c>
      <c r="H12" s="5">
        <f t="shared" si="3"/>
        <v>8</v>
      </c>
      <c r="I12" s="5" cm="1">
        <f t="array" ref="I12">_xlfn.XLOOKUP(I$5^$H12,$A$4:$A$1711^B10:B1717,D10:D1717,NA(),0,1)</f>
        <v>1061</v>
      </c>
      <c r="J12" s="5" cm="1">
        <f t="array" ref="J12">_xlfn.XLOOKUP(J$5^$H12,$A$4:$A$1711^$B$4:$B$1711,$D$4:$D$1711,NA(),0,1)</f>
        <v>1214</v>
      </c>
      <c r="K12" s="5" cm="1">
        <f t="array" ref="K12">_xlfn.XLOOKUP(K$5^$H12,$A$4:$A$1711^$B$4:$B$1711,$D$4:$D$1711,NA(),0,1)</f>
        <v>1477</v>
      </c>
      <c r="L12" s="5" cm="1">
        <f t="array" ref="L12">_xlfn.XLOOKUP(L$5^$H12,$A$4:$A$1711^$B$4:$B$1711,$D$4:$D$1711,NA(),0,1)</f>
        <v>1888</v>
      </c>
      <c r="M12" s="5" cm="1">
        <f t="array" ref="M12">_xlfn.XLOOKUP(M$5^$H12,$A$4:$A$1711^$B$4:$B$1711,$D$4:$D$1711,NA(),0,1)</f>
        <v>1377</v>
      </c>
      <c r="N12" s="5" cm="1">
        <f t="array" ref="N12">_xlfn.XLOOKUP(N$5^$H12,$A$4:$A$1711^$B$4:$B$1711,$D$4:$D$1711,NA(),0,1)</f>
        <v>966</v>
      </c>
      <c r="O12" s="5" cm="1">
        <f t="array" ref="O12">_xlfn.XLOOKUP(O$5^$H12,$A$4:$A$1711^$B$4:$B$1711,$D$4:$D$1711,NA(),0,1)</f>
        <v>1962</v>
      </c>
      <c r="P12" s="5" cm="1">
        <f t="array" ref="P12">_xlfn.XLOOKUP(P$5^$H12,$A$4:$A$1711^$B$4:$B$1711,$D$4:$D$1711,NA(),0,1)</f>
        <v>1014</v>
      </c>
      <c r="Q12" s="5" cm="1">
        <f t="array" ref="Q12">_xlfn.XLOOKUP(Q$5^$H12,$A$4:$A$1711^$B$4:$B$1711,$D$4:$D$1711,NA(),0,1)</f>
        <v>1267</v>
      </c>
      <c r="R12" s="5" cm="1">
        <f t="array" ref="R12">_xlfn.XLOOKUP(R$5^$H12,$A$4:$A$1711^$B$4:$B$1711,$D$4:$D$1711,NA(),0,1)</f>
        <v>1720</v>
      </c>
      <c r="S12" s="5" cm="1">
        <f t="array" ref="S12">_xlfn.XLOOKUP(S$5^$H12,$A$4:$A$1711^$B$4:$B$1711,$D$4:$D$1711,NA(),0,1)</f>
        <v>1972</v>
      </c>
      <c r="T12" s="5" cm="1">
        <f t="array" ref="T12">_xlfn.XLOOKUP(T$5^$H12,$A$4:$A$1711^$B$4:$B$1711,$D$4:$D$1711,NA(),0,1)</f>
        <v>1733</v>
      </c>
      <c r="U12" s="5" cm="1">
        <f t="array" ref="U12">_xlfn.XLOOKUP(U$5^$H12,$A$4:$A$1711^$B$4:$B$1711,$D$4:$D$1711,NA(),0,1)</f>
        <v>1619</v>
      </c>
      <c r="V12" s="5" cm="1">
        <f t="array" ref="V12">_xlfn.XLOOKUP(V$5^$H12,$A$4:$A$1711^$B$4:$B$1711,$D$4:$D$1711,NA(),0,1)</f>
        <v>1895</v>
      </c>
      <c r="W12" s="5" cm="1">
        <f t="array" ref="W12">_xlfn.XLOOKUP(W$5^$H12,$A$4:$A$1711^$B$4:$B$1711,$D$4:$D$1711,NA(),0,1)</f>
        <v>1853</v>
      </c>
      <c r="X12" s="5" cm="1">
        <f t="array" ref="X12">_xlfn.XLOOKUP(X$5^$H12,$A$4:$A$1711^$B$4:$B$1711,$D$4:$D$1711,NA(),0,1)</f>
        <v>1831</v>
      </c>
      <c r="Y12" s="5" cm="1">
        <f t="array" ref="Y12">_xlfn.XLOOKUP(Y$5^$H12,$A$4:$A$1711^$B$4:$B$1711,$D$4:$D$1711,NA(),0,1)</f>
        <v>2513</v>
      </c>
      <c r="Z12" s="5" cm="1">
        <f t="array" ref="Z12">_xlfn.XLOOKUP(Z$5^$H12,$A$4:$A$1711^$B$4:$B$1711,$D$4:$D$1711,NA(),0,1)</f>
        <v>2229</v>
      </c>
      <c r="AA12" s="5" cm="1">
        <f t="array" ref="AA12">_xlfn.XLOOKUP(AA$5^$H12,$A$4:$A$1711^$B$4:$B$1711,$D$4:$D$1711,NA(),0,1)</f>
        <v>1348</v>
      </c>
      <c r="AB12" s="5" cm="1">
        <f t="array" ref="AB12">_xlfn.XLOOKUP(AB$5^$H12,$A$4:$A$1711^$B$4:$B$1711,$D$4:$D$1711,NA(),0,1)</f>
        <v>1938</v>
      </c>
      <c r="AC12" s="5" cm="1">
        <f t="array" ref="AC12">_xlfn.XLOOKUP(AC$5^$H12,$A$4:$A$1711^$B$4:$B$1711,$D$4:$D$1711,NA(),0,1)</f>
        <v>2584</v>
      </c>
      <c r="AD12" s="5" cm="1">
        <f t="array" ref="AD12">_xlfn.XLOOKUP(AD$5^$H12,$A$4:$A$1711^$B$4:$B$1711,$D$4:$D$1711,NA(),0,1)</f>
        <v>2363</v>
      </c>
      <c r="AE12" s="5" cm="1">
        <f t="array" ref="AE12">_xlfn.XLOOKUP(AE$5^$H12,$A$4:$A$1711^$B$4:$B$1711,$D$4:$D$1711,NA(),0,1)</f>
        <v>1682</v>
      </c>
      <c r="AF12" s="5" cm="1">
        <f t="array" ref="AF12">_xlfn.XLOOKUP(AF$5^$H12,$A$4:$A$1711^$B$4:$B$1711,$D$4:$D$1711,NA(),0,1)</f>
        <v>1539</v>
      </c>
      <c r="AG12" s="5" cm="1">
        <f t="array" ref="AG12">_xlfn.XLOOKUP(AG$5^$H12,$A$4:$A$1711^$B$4:$B$1711,$D$4:$D$1711,NA(),0,1)</f>
        <v>2200</v>
      </c>
      <c r="AH12" s="5" cm="1">
        <f t="array" ref="AH12">_xlfn.XLOOKUP(AH$5^$H12,$A$4:$A$1711^$B$4:$B$1711,$D$4:$D$1711,NA(),0,1)</f>
        <v>1943</v>
      </c>
      <c r="AI12" s="5" cm="1">
        <f t="array" ref="AI12">_xlfn.XLOOKUP(AI$5^$H12,$A$4:$A$1711^$B$4:$B$1711,$D$4:$D$1711,NA(),0,1)</f>
        <v>1782</v>
      </c>
      <c r="AJ12" s="5" cm="1">
        <f t="array" ref="AJ12">_xlfn.XLOOKUP(AJ$5^$H12,$A$4:$A$1711^$B$4:$B$1711,$D$4:$D$1711,NA(),0,1)</f>
        <v>2114</v>
      </c>
      <c r="AK12" s="5" cm="1">
        <f t="array" ref="AK12">_xlfn.XLOOKUP(AK$5^$H12,$A$4:$A$1711^$B$4:$B$1711,$D$4:$D$1711,NA(),0,1)</f>
        <v>2374</v>
      </c>
      <c r="AL12" s="5" cm="1">
        <f t="array" ref="AL12">_xlfn.XLOOKUP(AL$5^$H12,$A$4:$A$1711^$B$4:$B$1711,$D$4:$D$1711,NA(),0,1)</f>
        <v>1840</v>
      </c>
      <c r="AM12" s="5" cm="1">
        <f t="array" ref="AM12">_xlfn.XLOOKUP(AM$5^$H12,$A$4:$A$1711^$B$4:$B$1711,$D$4:$D$1711,NA(),0,1)</f>
        <v>2007</v>
      </c>
    </row>
    <row r="13" spans="1:39" x14ac:dyDescent="0.25">
      <c r="A13" s="5">
        <f t="shared" si="0"/>
        <v>1994</v>
      </c>
      <c r="B13" s="5">
        <f t="shared" si="1"/>
        <v>11</v>
      </c>
      <c r="C13" s="2">
        <v>34404</v>
      </c>
      <c r="D13" s="1">
        <v>1004</v>
      </c>
      <c r="H13" s="5">
        <f t="shared" si="3"/>
        <v>9</v>
      </c>
      <c r="I13" s="5" cm="1">
        <f t="array" ref="I13">_xlfn.XLOOKUP(I$5^$H13,$A$4:$A$1711^B11:B1718,D11:D1718,NA(),0,1)</f>
        <v>1017</v>
      </c>
      <c r="J13" s="5" cm="1">
        <f t="array" ref="J13">_xlfn.XLOOKUP(J$5^$H13,$A$4:$A$1711^$B$4:$B$1711,$D$4:$D$1711,NA(),0,1)</f>
        <v>1139</v>
      </c>
      <c r="K13" s="5" cm="1">
        <f t="array" ref="K13">_xlfn.XLOOKUP(K$5^$H13,$A$4:$A$1711^$B$4:$B$1711,$D$4:$D$1711,NA(),0,1)</f>
        <v>1434</v>
      </c>
      <c r="L13" s="5" cm="1">
        <f t="array" ref="L13">_xlfn.XLOOKUP(L$5^$H13,$A$4:$A$1711^$B$4:$B$1711,$D$4:$D$1711,NA(),0,1)</f>
        <v>1763</v>
      </c>
      <c r="M13" s="5" cm="1">
        <f t="array" ref="M13">_xlfn.XLOOKUP(M$5^$H13,$A$4:$A$1711^$B$4:$B$1711,$D$4:$D$1711,NA(),0,1)</f>
        <v>1318</v>
      </c>
      <c r="N13" s="5" cm="1">
        <f t="array" ref="N13">_xlfn.XLOOKUP(N$5^$H13,$A$4:$A$1711^$B$4:$B$1711,$D$4:$D$1711,NA(),0,1)</f>
        <v>894</v>
      </c>
      <c r="O13" s="5" cm="1">
        <f t="array" ref="O13">_xlfn.XLOOKUP(O$5^$H13,$A$4:$A$1711^$B$4:$B$1711,$D$4:$D$1711,NA(),0,1)</f>
        <v>1819</v>
      </c>
      <c r="P13" s="5" cm="1">
        <f t="array" ref="P13">_xlfn.XLOOKUP(P$5^$H13,$A$4:$A$1711^$B$4:$B$1711,$D$4:$D$1711,NA(),0,1)</f>
        <v>838</v>
      </c>
      <c r="Q13" s="5" cm="1">
        <f t="array" ref="Q13">_xlfn.XLOOKUP(Q$5^$H13,$A$4:$A$1711^$B$4:$B$1711,$D$4:$D$1711,NA(),0,1)</f>
        <v>1171</v>
      </c>
      <c r="R13" s="5" cm="1">
        <f t="array" ref="R13">_xlfn.XLOOKUP(R$5^$H13,$A$4:$A$1711^$B$4:$B$1711,$D$4:$D$1711,NA(),0,1)</f>
        <v>1613</v>
      </c>
      <c r="S13" s="5" cm="1">
        <f t="array" ref="S13">_xlfn.XLOOKUP(S$5^$H13,$A$4:$A$1711^$B$4:$B$1711,$D$4:$D$1711,NA(),0,1)</f>
        <v>1887</v>
      </c>
      <c r="T13" s="5" cm="1">
        <f t="array" ref="T13">_xlfn.XLOOKUP(T$5^$H13,$A$4:$A$1711^$B$4:$B$1711,$D$4:$D$1711,NA(),0,1)</f>
        <v>1631</v>
      </c>
      <c r="U13" s="5" cm="1">
        <f t="array" ref="U13">_xlfn.XLOOKUP(U$5^$H13,$A$4:$A$1711^$B$4:$B$1711,$D$4:$D$1711,NA(),0,1)</f>
        <v>1484</v>
      </c>
      <c r="V13" s="5" cm="1">
        <f t="array" ref="V13">_xlfn.XLOOKUP(V$5^$H13,$A$4:$A$1711^$B$4:$B$1711,$D$4:$D$1711,NA(),0,1)</f>
        <v>1793</v>
      </c>
      <c r="W13" s="5" cm="1">
        <f t="array" ref="W13">_xlfn.XLOOKUP(W$5^$H13,$A$4:$A$1711^$B$4:$B$1711,$D$4:$D$1711,NA(),0,1)</f>
        <v>1738</v>
      </c>
      <c r="X13" s="5" cm="1">
        <f t="array" ref="X13">_xlfn.XLOOKUP(X$5^$H13,$A$4:$A$1711^$B$4:$B$1711,$D$4:$D$1711,NA(),0,1)</f>
        <v>1745</v>
      </c>
      <c r="Y13" s="5" cm="1">
        <f t="array" ref="Y13">_xlfn.XLOOKUP(Y$5^$H13,$A$4:$A$1711^$B$4:$B$1711,$D$4:$D$1711,NA(),0,1)</f>
        <v>2433</v>
      </c>
      <c r="Z13" s="5" cm="1">
        <f t="array" ref="Z13">_xlfn.XLOOKUP(Z$5^$H13,$A$4:$A$1711^$B$4:$B$1711,$D$4:$D$1711,NA(),0,1)</f>
        <v>2082</v>
      </c>
      <c r="AA13" s="5" cm="1">
        <f t="array" ref="AA13">_xlfn.XLOOKUP(AA$5^$H13,$A$4:$A$1711^$B$4:$B$1711,$D$4:$D$1711,NA(),0,1)</f>
        <v>1196</v>
      </c>
      <c r="AB13" s="5" cm="1">
        <f t="array" ref="AB13">_xlfn.XLOOKUP(AB$5^$H13,$A$4:$A$1711^$B$4:$B$1711,$D$4:$D$1711,NA(),0,1)</f>
        <v>1709</v>
      </c>
      <c r="AC13" s="5" cm="1">
        <f t="array" ref="AC13">_xlfn.XLOOKUP(AC$5^$H13,$A$4:$A$1711^$B$4:$B$1711,$D$4:$D$1711,NA(),0,1)</f>
        <v>2536</v>
      </c>
      <c r="AD13" s="5" cm="1">
        <f t="array" ref="AD13">_xlfn.XLOOKUP(AD$5^$H13,$A$4:$A$1711^$B$4:$B$1711,$D$4:$D$1711,NA(),0,1)</f>
        <v>2295</v>
      </c>
      <c r="AE13" s="5" cm="1">
        <f t="array" ref="AE13">_xlfn.XLOOKUP(AE$5^$H13,$A$4:$A$1711^$B$4:$B$1711,$D$4:$D$1711,NA(),0,1)</f>
        <v>1625</v>
      </c>
      <c r="AF13" s="5" cm="1">
        <f t="array" ref="AF13">_xlfn.XLOOKUP(AF$5^$H13,$A$4:$A$1711^$B$4:$B$1711,$D$4:$D$1711,NA(),0,1)</f>
        <v>1390</v>
      </c>
      <c r="AG13" s="5" cm="1">
        <f t="array" ref="AG13">_xlfn.XLOOKUP(AG$5^$H13,$A$4:$A$1711^$B$4:$B$1711,$D$4:$D$1711,NA(),0,1)</f>
        <v>2091</v>
      </c>
      <c r="AH13" s="5" cm="1">
        <f t="array" ref="AH13">_xlfn.XLOOKUP(AH$5^$H13,$A$4:$A$1711^$B$4:$B$1711,$D$4:$D$1711,NA(),0,1)</f>
        <v>1845</v>
      </c>
      <c r="AI13" s="5" cm="1">
        <f t="array" ref="AI13">_xlfn.XLOOKUP(AI$5^$H13,$A$4:$A$1711^$B$4:$B$1711,$D$4:$D$1711,NA(),0,1)</f>
        <v>1643</v>
      </c>
      <c r="AJ13" s="5" cm="1">
        <f t="array" ref="AJ13">_xlfn.XLOOKUP(AJ$5^$H13,$A$4:$A$1711^$B$4:$B$1711,$D$4:$D$1711,NA(),0,1)</f>
        <v>2030</v>
      </c>
      <c r="AK13" s="5" cm="1">
        <f t="array" ref="AK13">_xlfn.XLOOKUP(AK$5^$H13,$A$4:$A$1711^$B$4:$B$1711,$D$4:$D$1711,NA(),0,1)</f>
        <v>2334</v>
      </c>
      <c r="AL13" s="5" cm="1">
        <f t="array" ref="AL13">_xlfn.XLOOKUP(AL$5^$H13,$A$4:$A$1711^$B$4:$B$1711,$D$4:$D$1711,NA(),0,1)</f>
        <v>1760</v>
      </c>
      <c r="AM13" s="5" cm="1">
        <f t="array" ref="AM13">_xlfn.XLOOKUP(AM$5^$H13,$A$4:$A$1711^$B$4:$B$1711,$D$4:$D$1711,NA(),0,1)</f>
        <v>1876</v>
      </c>
    </row>
    <row r="14" spans="1:39" x14ac:dyDescent="0.25">
      <c r="A14" s="5">
        <f t="shared" si="0"/>
        <v>1994</v>
      </c>
      <c r="B14" s="5">
        <f t="shared" si="1"/>
        <v>12</v>
      </c>
      <c r="C14" s="2">
        <v>34411</v>
      </c>
      <c r="D14" s="1">
        <v>952</v>
      </c>
      <c r="H14" s="5">
        <f t="shared" si="3"/>
        <v>10</v>
      </c>
      <c r="I14" s="5" cm="1">
        <f t="array" ref="I14">_xlfn.XLOOKUP(I$5^$H14,$A$4:$A$1711^B12:B1719,D12:D1719,NA(),0,1)</f>
        <v>909</v>
      </c>
      <c r="J14" s="5" cm="1">
        <f t="array" ref="J14">_xlfn.XLOOKUP(J$5^$H14,$A$4:$A$1711^$B$4:$B$1711,$D$4:$D$1711,NA(),0,1)</f>
        <v>1086</v>
      </c>
      <c r="K14" s="5" cm="1">
        <f t="array" ref="K14">_xlfn.XLOOKUP(K$5^$H14,$A$4:$A$1711^$B$4:$B$1711,$D$4:$D$1711,NA(),0,1)</f>
        <v>1388</v>
      </c>
      <c r="L14" s="5" cm="1">
        <f t="array" ref="L14">_xlfn.XLOOKUP(L$5^$H14,$A$4:$A$1711^$B$4:$B$1711,$D$4:$D$1711,NA(),0,1)</f>
        <v>1689</v>
      </c>
      <c r="M14" s="5" cm="1">
        <f t="array" ref="M14">_xlfn.XLOOKUP(M$5^$H14,$A$4:$A$1711^$B$4:$B$1711,$D$4:$D$1711,NA(),0,1)</f>
        <v>1288</v>
      </c>
      <c r="N14" s="5" cm="1">
        <f t="array" ref="N14">_xlfn.XLOOKUP(N$5^$H14,$A$4:$A$1711^$B$4:$B$1711,$D$4:$D$1711,NA(),0,1)</f>
        <v>817</v>
      </c>
      <c r="O14" s="5" cm="1">
        <f t="array" ref="O14">_xlfn.XLOOKUP(O$5^$H14,$A$4:$A$1711^$B$4:$B$1711,$D$4:$D$1711,NA(),0,1)</f>
        <v>1728</v>
      </c>
      <c r="P14" s="5" cm="1">
        <f t="array" ref="P14">_xlfn.XLOOKUP(P$5^$H14,$A$4:$A$1711^$B$4:$B$1711,$D$4:$D$1711,NA(),0,1)</f>
        <v>736</v>
      </c>
      <c r="Q14" s="5" cm="1">
        <f t="array" ref="Q14">_xlfn.XLOOKUP(Q$5^$H14,$A$4:$A$1711^$B$4:$B$1711,$D$4:$D$1711,NA(),0,1)</f>
        <v>1143</v>
      </c>
      <c r="R14" s="5" cm="1">
        <f t="array" ref="R14">_xlfn.XLOOKUP(R$5^$H14,$A$4:$A$1711^$B$4:$B$1711,$D$4:$D$1711,NA(),0,1)</f>
        <v>1474</v>
      </c>
      <c r="S14" s="5" cm="1">
        <f t="array" ref="S14">_xlfn.XLOOKUP(S$5^$H14,$A$4:$A$1711^$B$4:$B$1711,$D$4:$D$1711,NA(),0,1)</f>
        <v>1832</v>
      </c>
      <c r="T14" s="5" cm="1">
        <f t="array" ref="T14">_xlfn.XLOOKUP(T$5^$H14,$A$4:$A$1711^$B$4:$B$1711,$D$4:$D$1711,NA(),0,1)</f>
        <v>1516</v>
      </c>
      <c r="U14" s="5" cm="1">
        <f t="array" ref="U14">_xlfn.XLOOKUP(U$5^$H14,$A$4:$A$1711^$B$4:$B$1711,$D$4:$D$1711,NA(),0,1)</f>
        <v>1398</v>
      </c>
      <c r="V14" s="5" cm="1">
        <f t="array" ref="V14">_xlfn.XLOOKUP(V$5^$H14,$A$4:$A$1711^$B$4:$B$1711,$D$4:$D$1711,NA(),0,1)</f>
        <v>1681</v>
      </c>
      <c r="W14" s="5" cm="1">
        <f t="array" ref="W14">_xlfn.XLOOKUP(W$5^$H14,$A$4:$A$1711^$B$4:$B$1711,$D$4:$D$1711,NA(),0,1)</f>
        <v>1627</v>
      </c>
      <c r="X14" s="5" cm="1">
        <f t="array" ref="X14">_xlfn.XLOOKUP(X$5^$H14,$A$4:$A$1711^$B$4:$B$1711,$D$4:$D$1711,NA(),0,1)</f>
        <v>1672</v>
      </c>
      <c r="Y14" s="5" cm="1">
        <f t="array" ref="Y14">_xlfn.XLOOKUP(Y$5^$H14,$A$4:$A$1711^$B$4:$B$1711,$D$4:$D$1711,NA(),0,1)</f>
        <v>2369</v>
      </c>
      <c r="Z14" s="5" cm="1">
        <f t="array" ref="Z14">_xlfn.XLOOKUP(Z$5^$H14,$A$4:$A$1711^$B$4:$B$1711,$D$4:$D$1711,NA(),0,1)</f>
        <v>1938</v>
      </c>
      <c r="AA14" s="5" cm="1">
        <f t="array" ref="AA14">_xlfn.XLOOKUP(AA$5^$H14,$A$4:$A$1711^$B$4:$B$1711,$D$4:$D$1711,NA(),0,1)</f>
        <v>1002</v>
      </c>
      <c r="AB14" s="5" cm="1">
        <f t="array" ref="AB14">_xlfn.XLOOKUP(AB$5^$H14,$A$4:$A$1711^$B$4:$B$1711,$D$4:$D$1711,NA(),0,1)</f>
        <v>1511</v>
      </c>
      <c r="AC14" s="5" cm="1">
        <f t="array" ref="AC14">_xlfn.XLOOKUP(AC$5^$H14,$A$4:$A$1711^$B$4:$B$1711,$D$4:$D$1711,NA(),0,1)</f>
        <v>2479</v>
      </c>
      <c r="AD14" s="5" cm="1">
        <f t="array" ref="AD14">_xlfn.XLOOKUP(AD$5^$H14,$A$4:$A$1711^$B$4:$B$1711,$D$4:$D$1711,NA(),0,1)</f>
        <v>2242</v>
      </c>
      <c r="AE14" s="5" cm="1">
        <f t="array" ref="AE14">_xlfn.XLOOKUP(AE$5^$H14,$A$4:$A$1711^$B$4:$B$1711,$D$4:$D$1711,NA(),0,1)</f>
        <v>1532</v>
      </c>
      <c r="AF14" s="5" cm="1">
        <f t="array" ref="AF14">_xlfn.XLOOKUP(AF$5^$H14,$A$4:$A$1711^$B$4:$B$1711,$D$4:$D$1711,NA(),0,1)</f>
        <v>1190</v>
      </c>
      <c r="AG14" s="5" cm="1">
        <f t="array" ref="AG14">_xlfn.XLOOKUP(AG$5^$H14,$A$4:$A$1711^$B$4:$B$1711,$D$4:$D$1711,NA(),0,1)</f>
        <v>2043</v>
      </c>
      <c r="AH14" s="5" cm="1">
        <f t="array" ref="AH14">_xlfn.XLOOKUP(AH$5^$H14,$A$4:$A$1711^$B$4:$B$1711,$D$4:$D$1711,NA(),0,1)</f>
        <v>1793</v>
      </c>
      <c r="AI14" s="5" cm="1">
        <f t="array" ref="AI14">_xlfn.XLOOKUP(AI$5^$H14,$A$4:$A$1711^$B$4:$B$1711,$D$4:$D$1711,NA(),0,1)</f>
        <v>1519</v>
      </c>
      <c r="AJ14" s="5" cm="1">
        <f t="array" ref="AJ14">_xlfn.XLOOKUP(AJ$5^$H14,$A$4:$A$1711^$B$4:$B$1711,$D$4:$D$1711,NA(),0,1)</f>
        <v>1972</v>
      </c>
      <c r="AK14" s="5" cm="1">
        <f t="array" ref="AK14">_xlfn.XLOOKUP(AK$5^$H14,$A$4:$A$1711^$B$4:$B$1711,$D$4:$D$1711,NA(),0,1)</f>
        <v>2325</v>
      </c>
      <c r="AL14" s="5" cm="1">
        <f t="array" ref="AL14">_xlfn.XLOOKUP(AL$5^$H14,$A$4:$A$1711^$B$4:$B$1711,$D$4:$D$1711,NA(),0,1)</f>
        <v>1698</v>
      </c>
      <c r="AM14" s="5" cm="1">
        <f t="array" ref="AM14">_xlfn.XLOOKUP(AM$5^$H14,$A$4:$A$1711^$B$4:$B$1711,$D$4:$D$1711,NA(),0,1)</f>
        <v>1838</v>
      </c>
    </row>
    <row r="15" spans="1:39" x14ac:dyDescent="0.25">
      <c r="A15" s="5">
        <f t="shared" si="0"/>
        <v>1994</v>
      </c>
      <c r="B15" s="5">
        <f t="shared" si="1"/>
        <v>13</v>
      </c>
      <c r="C15" s="2">
        <v>34418</v>
      </c>
      <c r="D15" s="1">
        <v>965</v>
      </c>
      <c r="H15" s="5">
        <f t="shared" si="3"/>
        <v>11</v>
      </c>
      <c r="I15" s="5" cm="1">
        <f t="array" ref="I15">_xlfn.XLOOKUP(I$5^$H15,$A$4:$A$1711^B13:B1720,D13:D1720,NA(),0,1)</f>
        <v>844</v>
      </c>
      <c r="J15" s="5" cm="1">
        <f t="array" ref="J15">_xlfn.XLOOKUP(J$5^$H15,$A$4:$A$1711^$B$4:$B$1711,$D$4:$D$1711,NA(),0,1)</f>
        <v>1039</v>
      </c>
      <c r="K15" s="5" cm="1">
        <f t="array" ref="K15">_xlfn.XLOOKUP(K$5^$H15,$A$4:$A$1711^$B$4:$B$1711,$D$4:$D$1711,NA(),0,1)</f>
        <v>1239</v>
      </c>
      <c r="L15" s="5" cm="1">
        <f t="array" ref="L15">_xlfn.XLOOKUP(L$5^$H15,$A$4:$A$1711^$B$4:$B$1711,$D$4:$D$1711,NA(),0,1)</f>
        <v>1542</v>
      </c>
      <c r="M15" s="5" cm="1">
        <f t="array" ref="M15">_xlfn.XLOOKUP(M$5^$H15,$A$4:$A$1711^$B$4:$B$1711,$D$4:$D$1711,NA(),0,1)</f>
        <v>1259</v>
      </c>
      <c r="N15" s="5" cm="1">
        <f t="array" ref="N15">_xlfn.XLOOKUP(N$5^$H15,$A$4:$A$1711^$B$4:$B$1711,$D$4:$D$1711,NA(),0,1)</f>
        <v>799</v>
      </c>
      <c r="O15" s="5" cm="1">
        <f t="array" ref="O15">_xlfn.XLOOKUP(O$5^$H15,$A$4:$A$1711^$B$4:$B$1711,$D$4:$D$1711,NA(),0,1)</f>
        <v>1636</v>
      </c>
      <c r="P15" s="5" cm="1">
        <f t="array" ref="P15">_xlfn.XLOOKUP(P$5^$H15,$A$4:$A$1711^$B$4:$B$1711,$D$4:$D$1711,NA(),0,1)</f>
        <v>654</v>
      </c>
      <c r="Q15" s="5" cm="1">
        <f t="array" ref="Q15">_xlfn.XLOOKUP(Q$5^$H15,$A$4:$A$1711^$B$4:$B$1711,$D$4:$D$1711,NA(),0,1)</f>
        <v>1097</v>
      </c>
      <c r="R15" s="5" cm="1">
        <f t="array" ref="R15">_xlfn.XLOOKUP(R$5^$H15,$A$4:$A$1711^$B$4:$B$1711,$D$4:$D$1711,NA(),0,1)</f>
        <v>1379</v>
      </c>
      <c r="S15" s="5" cm="1">
        <f t="array" ref="S15">_xlfn.XLOOKUP(S$5^$H15,$A$4:$A$1711^$B$4:$B$1711,$D$4:$D$1711,NA(),0,1)</f>
        <v>1809</v>
      </c>
      <c r="T15" s="5" cm="1">
        <f t="array" ref="T15">_xlfn.XLOOKUP(T$5^$H15,$A$4:$A$1711^$B$4:$B$1711,$D$4:$D$1711,NA(),0,1)</f>
        <v>1533</v>
      </c>
      <c r="U15" s="5" cm="1">
        <f t="array" ref="U15">_xlfn.XLOOKUP(U$5^$H15,$A$4:$A$1711^$B$4:$B$1711,$D$4:$D$1711,NA(),0,1)</f>
        <v>1313</v>
      </c>
      <c r="V15" s="5" cm="1">
        <f t="array" ref="V15">_xlfn.XLOOKUP(V$5^$H15,$A$4:$A$1711^$B$4:$B$1711,$D$4:$D$1711,NA(),0,1)</f>
        <v>1651</v>
      </c>
      <c r="W15" s="5" cm="1">
        <f t="array" ref="W15">_xlfn.XLOOKUP(W$5^$H15,$A$4:$A$1711^$B$4:$B$1711,$D$4:$D$1711,NA(),0,1)</f>
        <v>1614</v>
      </c>
      <c r="X15" s="5" cm="1">
        <f t="array" ref="X15">_xlfn.XLOOKUP(X$5^$H15,$A$4:$A$1711^$B$4:$B$1711,$D$4:$D$1711,NA(),0,1)</f>
        <v>1616</v>
      </c>
      <c r="Y15" s="5" cm="1">
        <f t="array" ref="Y15">_xlfn.XLOOKUP(Y$5^$H15,$A$4:$A$1711^$B$4:$B$1711,$D$4:$D$1711,NA(),0,1)</f>
        <v>2380</v>
      </c>
      <c r="Z15" s="5" cm="1">
        <f t="array" ref="Z15">_xlfn.XLOOKUP(Z$5^$H15,$A$4:$A$1711^$B$4:$B$1711,$D$4:$D$1711,NA(),0,1)</f>
        <v>1876</v>
      </c>
      <c r="AA15" s="5" cm="1">
        <f t="array" ref="AA15">_xlfn.XLOOKUP(AA$5^$H15,$A$4:$A$1711^$B$4:$B$1711,$D$4:$D$1711,NA(),0,1)</f>
        <v>953</v>
      </c>
      <c r="AB15" s="5" cm="1">
        <f t="array" ref="AB15">_xlfn.XLOOKUP(AB$5^$H15,$A$4:$A$1711^$B$4:$B$1711,$D$4:$D$1711,NA(),0,1)</f>
        <v>1468</v>
      </c>
      <c r="AC15" s="5" cm="1">
        <f t="array" ref="AC15">_xlfn.XLOOKUP(AC$5^$H15,$A$4:$A$1711^$B$4:$B$1711,$D$4:$D$1711,NA(),0,1)</f>
        <v>2478</v>
      </c>
      <c r="AD15" s="5" cm="1">
        <f t="array" ref="AD15">_xlfn.XLOOKUP(AD$5^$H15,$A$4:$A$1711^$B$4:$B$1711,$D$4:$D$1711,NA(),0,1)</f>
        <v>2092</v>
      </c>
      <c r="AE15" s="5" cm="1">
        <f t="array" ref="AE15">_xlfn.XLOOKUP(AE$5^$H15,$A$4:$A$1711^$B$4:$B$1711,$D$4:$D$1711,NA(),0,1)</f>
        <v>1446</v>
      </c>
      <c r="AF15" s="5" cm="1">
        <f t="array" ref="AF15">_xlfn.XLOOKUP(AF$5^$H15,$A$4:$A$1711^$B$4:$B$1711,$D$4:$D$1711,NA(),0,1)</f>
        <v>1143</v>
      </c>
      <c r="AG15" s="5" cm="1">
        <f t="array" ref="AG15">_xlfn.XLOOKUP(AG$5^$H15,$A$4:$A$1711^$B$4:$B$1711,$D$4:$D$1711,NA(),0,1)</f>
        <v>2034</v>
      </c>
      <c r="AH15" s="5" cm="1">
        <f t="array" ref="AH15">_xlfn.XLOOKUP(AH$5^$H15,$A$4:$A$1711^$B$4:$B$1711,$D$4:$D$1711,NA(),0,1)</f>
        <v>1782</v>
      </c>
      <c r="AI15" s="5" cm="1">
        <f t="array" ref="AI15">_xlfn.XLOOKUP(AI$5^$H15,$A$4:$A$1711^$B$4:$B$1711,$D$4:$D$1711,NA(),0,1)</f>
        <v>1440</v>
      </c>
      <c r="AJ15" s="5" cm="1">
        <f t="array" ref="AJ15">_xlfn.XLOOKUP(AJ$5^$H15,$A$4:$A$1711^$B$4:$B$1711,$D$4:$D$1711,NA(),0,1)</f>
        <v>1900</v>
      </c>
      <c r="AK15" s="5" cm="1">
        <f t="array" ref="AK15">_xlfn.XLOOKUP(AK$5^$H15,$A$4:$A$1711^$B$4:$B$1711,$D$4:$D$1711,NA(),0,1)</f>
        <v>2332</v>
      </c>
      <c r="AL15" s="5" cm="1">
        <f t="array" ref="AL15">_xlfn.XLOOKUP(AL$5^$H15,$A$4:$A$1711^$B$4:$B$1711,$D$4:$D$1711,NA(),0,1)</f>
        <v>1707</v>
      </c>
      <c r="AM15" s="5" cm="1">
        <f t="array" ref="AM15">_xlfn.XLOOKUP(AM$5^$H15,$A$4:$A$1711^$B$4:$B$1711,$D$4:$D$1711,NA(),0,1)</f>
        <v>1872</v>
      </c>
    </row>
    <row r="16" spans="1:39" x14ac:dyDescent="0.25">
      <c r="A16" s="5">
        <f t="shared" si="0"/>
        <v>1994</v>
      </c>
      <c r="B16" s="5">
        <f t="shared" si="1"/>
        <v>14</v>
      </c>
      <c r="C16" s="2">
        <v>34425</v>
      </c>
      <c r="D16" s="1">
        <v>953</v>
      </c>
      <c r="H16" s="5">
        <f t="shared" si="3"/>
        <v>12</v>
      </c>
      <c r="I16" s="5" cm="1">
        <f t="array" ref="I16">_xlfn.XLOOKUP(I$5^$H16,$A$4:$A$1711^B14:B1721,D14:D1721,NA(),0,1)</f>
        <v>810</v>
      </c>
      <c r="J16" s="5" cm="1">
        <f t="array" ref="J16">_xlfn.XLOOKUP(J$5^$H16,$A$4:$A$1711^$B$4:$B$1711,$D$4:$D$1711,NA(),0,1)</f>
        <v>977</v>
      </c>
      <c r="K16" s="5" cm="1">
        <f t="array" ref="K16">_xlfn.XLOOKUP(K$5^$H16,$A$4:$A$1711^$B$4:$B$1711,$D$4:$D$1711,NA(),0,1)</f>
        <v>1156</v>
      </c>
      <c r="L16" s="5" cm="1">
        <f t="array" ref="L16">_xlfn.XLOOKUP(L$5^$H16,$A$4:$A$1711^$B$4:$B$1711,$D$4:$D$1711,NA(),0,1)</f>
        <v>1446</v>
      </c>
      <c r="M16" s="5" cm="1">
        <f t="array" ref="M16">_xlfn.XLOOKUP(M$5^$H16,$A$4:$A$1711^$B$4:$B$1711,$D$4:$D$1711,NA(),0,1)</f>
        <v>1192</v>
      </c>
      <c r="N16" s="5" cm="1">
        <f t="array" ref="N16">_xlfn.XLOOKUP(N$5^$H16,$A$4:$A$1711^$B$4:$B$1711,$D$4:$D$1711,NA(),0,1)</f>
        <v>796</v>
      </c>
      <c r="O16" s="5" cm="1">
        <f t="array" ref="O16">_xlfn.XLOOKUP(O$5^$H16,$A$4:$A$1711^$B$4:$B$1711,$D$4:$D$1711,NA(),0,1)</f>
        <v>1561</v>
      </c>
      <c r="P16" s="5" cm="1">
        <f t="array" ref="P16">_xlfn.XLOOKUP(P$5^$H16,$A$4:$A$1711^$B$4:$B$1711,$D$4:$D$1711,NA(),0,1)</f>
        <v>660</v>
      </c>
      <c r="Q16" s="5" cm="1">
        <f t="array" ref="Q16">_xlfn.XLOOKUP(Q$5^$H16,$A$4:$A$1711^$B$4:$B$1711,$D$4:$D$1711,NA(),0,1)</f>
        <v>1032</v>
      </c>
      <c r="R16" s="5" cm="1">
        <f t="array" ref="R16">_xlfn.XLOOKUP(R$5^$H16,$A$4:$A$1711^$B$4:$B$1711,$D$4:$D$1711,NA(),0,1)</f>
        <v>1290</v>
      </c>
      <c r="S16" s="5" cm="1">
        <f t="array" ref="S16">_xlfn.XLOOKUP(S$5^$H16,$A$4:$A$1711^$B$4:$B$1711,$D$4:$D$1711,NA(),0,1)</f>
        <v>1705</v>
      </c>
      <c r="T16" s="5" cm="1">
        <f t="array" ref="T16">_xlfn.XLOOKUP(T$5^$H16,$A$4:$A$1711^$B$4:$B$1711,$D$4:$D$1711,NA(),0,1)</f>
        <v>1511</v>
      </c>
      <c r="U16" s="5" cm="1">
        <f t="array" ref="U16">_xlfn.XLOOKUP(U$5^$H16,$A$4:$A$1711^$B$4:$B$1711,$D$4:$D$1711,NA(),0,1)</f>
        <v>1277</v>
      </c>
      <c r="V16" s="5" cm="1">
        <f t="array" ref="V16">_xlfn.XLOOKUP(V$5^$H16,$A$4:$A$1711^$B$4:$B$1711,$D$4:$D$1711,NA(),0,1)</f>
        <v>1654</v>
      </c>
      <c r="W16" s="5" cm="1">
        <f t="array" ref="W16">_xlfn.XLOOKUP(W$5^$H16,$A$4:$A$1711^$B$4:$B$1711,$D$4:$D$1711,NA(),0,1)</f>
        <v>1626</v>
      </c>
      <c r="X16" s="5" cm="1">
        <f t="array" ref="X16">_xlfn.XLOOKUP(X$5^$H16,$A$4:$A$1711^$B$4:$B$1711,$D$4:$D$1711,NA(),0,1)</f>
        <v>1611</v>
      </c>
      <c r="Y16" s="5" cm="1">
        <f t="array" ref="Y16">_xlfn.XLOOKUP(Y$5^$H16,$A$4:$A$1711^$B$4:$B$1711,$D$4:$D$1711,NA(),0,1)</f>
        <v>2429</v>
      </c>
      <c r="Z16" s="5" cm="1">
        <f t="array" ref="Z16">_xlfn.XLOOKUP(Z$5^$H16,$A$4:$A$1711^$B$4:$B$1711,$D$4:$D$1711,NA(),0,1)</f>
        <v>1781</v>
      </c>
      <c r="AA16" s="5" cm="1">
        <f t="array" ref="AA16">_xlfn.XLOOKUP(AA$5^$H16,$A$4:$A$1711^$B$4:$B$1711,$D$4:$D$1711,NA(),0,1)</f>
        <v>895</v>
      </c>
      <c r="AB16" s="5" cm="1">
        <f t="array" ref="AB16">_xlfn.XLOOKUP(AB$5^$H16,$A$4:$A$1711^$B$4:$B$1711,$D$4:$D$1711,NA(),0,1)</f>
        <v>1479</v>
      </c>
      <c r="AC16" s="5" cm="1">
        <f t="array" ref="AC16">_xlfn.XLOOKUP(AC$5^$H16,$A$4:$A$1711^$B$4:$B$1711,$D$4:$D$1711,NA(),0,1)</f>
        <v>2493</v>
      </c>
      <c r="AD16" s="5" cm="1">
        <f t="array" ref="AD16">_xlfn.XLOOKUP(AD$5^$H16,$A$4:$A$1711^$B$4:$B$1711,$D$4:$D$1711,NA(),0,1)</f>
        <v>2049</v>
      </c>
      <c r="AE16" s="5" cm="1">
        <f t="array" ref="AE16">_xlfn.XLOOKUP(AE$5^$H16,$A$4:$A$1711^$B$4:$B$1711,$D$4:$D$1711,NA(),0,1)</f>
        <v>1383</v>
      </c>
      <c r="AF16" s="5" cm="1">
        <f t="array" ref="AF16">_xlfn.XLOOKUP(AF$5^$H16,$A$4:$A$1711^$B$4:$B$1711,$D$4:$D$1711,NA(),0,1)</f>
        <v>1107</v>
      </c>
      <c r="AG16" s="5" cm="1">
        <f t="array" ref="AG16">_xlfn.XLOOKUP(AG$5^$H16,$A$4:$A$1711^$B$4:$B$1711,$D$4:$D$1711,NA(),0,1)</f>
        <v>2005</v>
      </c>
      <c r="AH16" s="5" cm="1">
        <f t="array" ref="AH16">_xlfn.XLOOKUP(AH$5^$H16,$A$4:$A$1711^$B$4:$B$1711,$D$4:$D$1711,NA(),0,1)</f>
        <v>1750</v>
      </c>
      <c r="AI16" s="5" cm="1">
        <f t="array" ref="AI16">_xlfn.XLOOKUP(AI$5^$H16,$A$4:$A$1711^$B$4:$B$1711,$D$4:$D$1711,NA(),0,1)</f>
        <v>1389</v>
      </c>
      <c r="AJ16" s="5" cm="1">
        <f t="array" ref="AJ16">_xlfn.XLOOKUP(AJ$5^$H16,$A$4:$A$1711^$B$4:$B$1711,$D$4:$D$1711,NA(),0,1)</f>
        <v>1853</v>
      </c>
      <c r="AK16" s="5" cm="1">
        <f t="array" ref="AK16">_xlfn.XLOOKUP(AK$5^$H16,$A$4:$A$1711^$B$4:$B$1711,$D$4:$D$1711,NA(),0,1)</f>
        <v>2296</v>
      </c>
      <c r="AL16" s="5" cm="1">
        <f t="array" ref="AL16">_xlfn.XLOOKUP(AL$5^$H16,$A$4:$A$1711^$B$4:$B$1711,$D$4:$D$1711,NA(),0,1)</f>
        <v>1744</v>
      </c>
      <c r="AM16" s="5" cm="1">
        <f t="array" ref="AM16">_xlfn.XLOOKUP(AM$5^$H16,$A$4:$A$1711^$B$4:$B$1711,$D$4:$D$1711,NA(),0,1)</f>
        <v>1818</v>
      </c>
    </row>
    <row r="17" spans="1:39" x14ac:dyDescent="0.25">
      <c r="A17" s="5">
        <f t="shared" si="0"/>
        <v>1994</v>
      </c>
      <c r="B17" s="5">
        <f t="shared" si="1"/>
        <v>15</v>
      </c>
      <c r="C17" s="2">
        <v>34432</v>
      </c>
      <c r="D17" s="1">
        <v>969</v>
      </c>
      <c r="H17" s="5">
        <f t="shared" si="3"/>
        <v>13</v>
      </c>
      <c r="I17" s="5" cm="1">
        <f t="array" ref="I17">_xlfn.XLOOKUP(I$5^$H17,$A$4:$A$1711^B15:B1722,D15:D1722,NA(),0,1)</f>
        <v>757</v>
      </c>
      <c r="J17" s="5" cm="1">
        <f t="array" ref="J17">_xlfn.XLOOKUP(J$5^$H17,$A$4:$A$1711^$B$4:$B$1711,$D$4:$D$1711,NA(),0,1)</f>
        <v>977</v>
      </c>
      <c r="K17" s="5" cm="1">
        <f t="array" ref="K17">_xlfn.XLOOKUP(K$5^$H17,$A$4:$A$1711^$B$4:$B$1711,$D$4:$D$1711,NA(),0,1)</f>
        <v>1138</v>
      </c>
      <c r="L17" s="5" cm="1">
        <f t="array" ref="L17">_xlfn.XLOOKUP(L$5^$H17,$A$4:$A$1711^$B$4:$B$1711,$D$4:$D$1711,NA(),0,1)</f>
        <v>1403</v>
      </c>
      <c r="M17" s="5" cm="1">
        <f t="array" ref="M17">_xlfn.XLOOKUP(M$5^$H17,$A$4:$A$1711^$B$4:$B$1711,$D$4:$D$1711,NA(),0,1)</f>
        <v>1156</v>
      </c>
      <c r="N17" s="5" cm="1">
        <f t="array" ref="N17">_xlfn.XLOOKUP(N$5^$H17,$A$4:$A$1711^$B$4:$B$1711,$D$4:$D$1711,NA(),0,1)</f>
        <v>738</v>
      </c>
      <c r="O17" s="5" cm="1">
        <f t="array" ref="O17">_xlfn.XLOOKUP(O$5^$H17,$A$4:$A$1711^$B$4:$B$1711,$D$4:$D$1711,NA(),0,1)</f>
        <v>1500</v>
      </c>
      <c r="P17" s="5" cm="1">
        <f t="array" ref="P17">_xlfn.XLOOKUP(P$5^$H17,$A$4:$A$1711^$B$4:$B$1711,$D$4:$D$1711,NA(),0,1)</f>
        <v>696</v>
      </c>
      <c r="Q17" s="5" cm="1">
        <f t="array" ref="Q17">_xlfn.XLOOKUP(Q$5^$H17,$A$4:$A$1711^$B$4:$B$1711,$D$4:$D$1711,NA(),0,1)</f>
        <v>1014</v>
      </c>
      <c r="R17" s="5" cm="1">
        <f t="array" ref="R17">_xlfn.XLOOKUP(R$5^$H17,$A$4:$A$1711^$B$4:$B$1711,$D$4:$D$1711,NA(),0,1)</f>
        <v>1239</v>
      </c>
      <c r="S17" s="5" cm="1">
        <f t="array" ref="S17">_xlfn.XLOOKUP(S$5^$H17,$A$4:$A$1711^$B$4:$B$1711,$D$4:$D$1711,NA(),0,1)</f>
        <v>1695</v>
      </c>
      <c r="T17" s="5" cm="1">
        <f t="array" ref="T17">_xlfn.XLOOKUP(T$5^$H17,$A$4:$A$1711^$B$4:$B$1711,$D$4:$D$1711,NA(),0,1)</f>
        <v>1569</v>
      </c>
      <c r="U17" s="5" cm="1">
        <f t="array" ref="U17">_xlfn.XLOOKUP(U$5^$H17,$A$4:$A$1711^$B$4:$B$1711,$D$4:$D$1711,NA(),0,1)</f>
        <v>1248</v>
      </c>
      <c r="V17" s="5" cm="1">
        <f t="array" ref="V17">_xlfn.XLOOKUP(V$5^$H17,$A$4:$A$1711^$B$4:$B$1711,$D$4:$D$1711,NA(),0,1)</f>
        <v>1654</v>
      </c>
      <c r="W17" s="5" cm="1">
        <f t="array" ref="W17">_xlfn.XLOOKUP(W$5^$H17,$A$4:$A$1711^$B$4:$B$1711,$D$4:$D$1711,NA(),0,1)</f>
        <v>1638</v>
      </c>
      <c r="X17" s="5" cm="1">
        <f t="array" ref="X17">_xlfn.XLOOKUP(X$5^$H17,$A$4:$A$1711^$B$4:$B$1711,$D$4:$D$1711,NA(),0,1)</f>
        <v>1622</v>
      </c>
      <c r="Y17" s="5" cm="1">
        <f t="array" ref="Y17">_xlfn.XLOOKUP(Y$5^$H17,$A$4:$A$1711^$B$4:$B$1711,$D$4:$D$1711,NA(),0,1)</f>
        <v>2472</v>
      </c>
      <c r="Z17" s="5" cm="1">
        <f t="array" ref="Z17">_xlfn.XLOOKUP(Z$5^$H17,$A$4:$A$1711^$B$4:$B$1711,$D$4:$D$1711,NA(),0,1)</f>
        <v>1687</v>
      </c>
      <c r="AA17" s="5" cm="1">
        <f t="array" ref="AA17">_xlfn.XLOOKUP(AA$5^$H17,$A$4:$A$1711^$B$4:$B$1711,$D$4:$D$1711,NA(),0,1)</f>
        <v>824</v>
      </c>
      <c r="AB17" s="5" cm="1">
        <f t="array" ref="AB17">_xlfn.XLOOKUP(AB$5^$H17,$A$4:$A$1711^$B$4:$B$1711,$D$4:$D$1711,NA(),0,1)</f>
        <v>1461</v>
      </c>
      <c r="AC17" s="5" cm="1">
        <f t="array" ref="AC17">_xlfn.XLOOKUP(AC$5^$H17,$A$4:$A$1711^$B$4:$B$1711,$D$4:$D$1711,NA(),0,1)</f>
        <v>2468</v>
      </c>
      <c r="AD17" s="5" cm="1">
        <f t="array" ref="AD17">_xlfn.XLOOKUP(AD$5^$H17,$A$4:$A$1711^$B$4:$B$1711,$D$4:$D$1711,NA(),0,1)</f>
        <v>2051</v>
      </c>
      <c r="AE17" s="5" cm="1">
        <f t="array" ref="AE17">_xlfn.XLOOKUP(AE$5^$H17,$A$4:$A$1711^$B$4:$B$1711,$D$4:$D$1711,NA(),0,1)</f>
        <v>1354</v>
      </c>
      <c r="AF17" s="5" cm="1">
        <f t="array" ref="AF17">_xlfn.XLOOKUP(AF$5^$H17,$A$4:$A$1711^$B$4:$B$1711,$D$4:$D$1711,NA(),0,1)</f>
        <v>1130</v>
      </c>
      <c r="AG17" s="5" cm="1">
        <f t="array" ref="AG17">_xlfn.XLOOKUP(AG$5^$H17,$A$4:$A$1711^$B$4:$B$1711,$D$4:$D$1711,NA(),0,1)</f>
        <v>1986</v>
      </c>
      <c r="AH17" s="5" cm="1">
        <f t="array" ref="AH17">_xlfn.XLOOKUP(AH$5^$H17,$A$4:$A$1711^$B$4:$B$1711,$D$4:$D$1711,NA(),0,1)</f>
        <v>1764</v>
      </c>
      <c r="AI17" s="5" cm="1">
        <f t="array" ref="AI17">_xlfn.XLOOKUP(AI$5^$H17,$A$4:$A$1711^$B$4:$B$1711,$D$4:$D$1711,NA(),0,1)</f>
        <v>1415</v>
      </c>
      <c r="AJ17" s="5" cm="1">
        <f t="array" ref="AJ17">_xlfn.XLOOKUP(AJ$5^$H17,$A$4:$A$1711^$B$4:$B$1711,$D$4:$D$1711,NA(),0,1)</f>
        <v>1830</v>
      </c>
      <c r="AK17" s="5" cm="1">
        <f t="array" ref="AK17">_xlfn.XLOOKUP(AK$5^$H17,$A$4:$A$1711^$B$4:$B$1711,$D$4:$D$1711,NA(),0,1)</f>
        <v>2259</v>
      </c>
      <c r="AL17" s="5" cm="1">
        <f t="array" ref="AL17">_xlfn.XLOOKUP(AL$5^$H17,$A$4:$A$1711^$B$4:$B$1711,$D$4:$D$1711,NA(),0,1)</f>
        <v>1773</v>
      </c>
      <c r="AM17" s="5" cm="1">
        <f t="array" ref="AM17">_xlfn.XLOOKUP(AM$5^$H17,$A$4:$A$1711^$B$4:$B$1711,$D$4:$D$1711,NA(),0,1)</f>
        <v>1851</v>
      </c>
    </row>
    <row r="18" spans="1:39" x14ac:dyDescent="0.25">
      <c r="A18" s="5">
        <f t="shared" si="0"/>
        <v>1994</v>
      </c>
      <c r="B18" s="5">
        <f t="shared" si="1"/>
        <v>16</v>
      </c>
      <c r="C18" s="2">
        <v>34439</v>
      </c>
      <c r="D18" s="1">
        <v>1005</v>
      </c>
      <c r="H18" s="5">
        <f t="shared" si="3"/>
        <v>14</v>
      </c>
      <c r="I18" s="5" cm="1">
        <f t="array" ref="I18">_xlfn.XLOOKUP(I$5^$H18,$A$4:$A$1711^B16:B1723,D16:D1723,NA(),0,1)</f>
        <v>733</v>
      </c>
      <c r="J18" s="5" cm="1">
        <f t="array" ref="J18">_xlfn.XLOOKUP(J$5^$H18,$A$4:$A$1711^$B$4:$B$1711,$D$4:$D$1711,NA(),0,1)</f>
        <v>1004</v>
      </c>
      <c r="K18" s="5" cm="1">
        <f t="array" ref="K18">_xlfn.XLOOKUP(K$5^$H18,$A$4:$A$1711^$B$4:$B$1711,$D$4:$D$1711,NA(),0,1)</f>
        <v>1206</v>
      </c>
      <c r="L18" s="5" cm="1">
        <f t="array" ref="L18">_xlfn.XLOOKUP(L$5^$H18,$A$4:$A$1711^$B$4:$B$1711,$D$4:$D$1711,NA(),0,1)</f>
        <v>1407</v>
      </c>
      <c r="M18" s="5" cm="1">
        <f t="array" ref="M18">_xlfn.XLOOKUP(M$5^$H18,$A$4:$A$1711^$B$4:$B$1711,$D$4:$D$1711,NA(),0,1)</f>
        <v>1153</v>
      </c>
      <c r="N18" s="5" cm="1">
        <f t="array" ref="N18">_xlfn.XLOOKUP(N$5^$H18,$A$4:$A$1711^$B$4:$B$1711,$D$4:$D$1711,NA(),0,1)</f>
        <v>741</v>
      </c>
      <c r="O18" s="5" cm="1">
        <f t="array" ref="O18">_xlfn.XLOOKUP(O$5^$H18,$A$4:$A$1711^$B$4:$B$1711,$D$4:$D$1711,NA(),0,1)</f>
        <v>1491</v>
      </c>
      <c r="P18" s="5" cm="1">
        <f t="array" ref="P18">_xlfn.XLOOKUP(P$5^$H18,$A$4:$A$1711^$B$4:$B$1711,$D$4:$D$1711,NA(),0,1)</f>
        <v>688</v>
      </c>
      <c r="Q18" s="5" cm="1">
        <f t="array" ref="Q18">_xlfn.XLOOKUP(Q$5^$H18,$A$4:$A$1711^$B$4:$B$1711,$D$4:$D$1711,NA(),0,1)</f>
        <v>1034</v>
      </c>
      <c r="R18" s="5" cm="1">
        <f t="array" ref="R18">_xlfn.XLOOKUP(R$5^$H18,$A$4:$A$1711^$B$4:$B$1711,$D$4:$D$1711,NA(),0,1)</f>
        <v>1249</v>
      </c>
      <c r="S18" s="5" cm="1">
        <f t="array" ref="S18">_xlfn.XLOOKUP(S$5^$H18,$A$4:$A$1711^$B$4:$B$1711,$D$4:$D$1711,NA(),0,1)</f>
        <v>1714</v>
      </c>
      <c r="T18" s="5" cm="1">
        <f t="array" ref="T18">_xlfn.XLOOKUP(T$5^$H18,$A$4:$A$1711^$B$4:$B$1711,$D$4:$D$1711,NA(),0,1)</f>
        <v>1592</v>
      </c>
      <c r="U18" s="5" cm="1">
        <f t="array" ref="U18">_xlfn.XLOOKUP(U$5^$H18,$A$4:$A$1711^$B$4:$B$1711,$D$4:$D$1711,NA(),0,1)</f>
        <v>1234</v>
      </c>
      <c r="V18" s="5" cm="1">
        <f t="array" ref="V18">_xlfn.XLOOKUP(V$5^$H18,$A$4:$A$1711^$B$4:$B$1711,$D$4:$D$1711,NA(),0,1)</f>
        <v>1674</v>
      </c>
      <c r="W18" s="5" cm="1">
        <f t="array" ref="W18">_xlfn.XLOOKUP(W$5^$H18,$A$4:$A$1711^$B$4:$B$1711,$D$4:$D$1711,NA(),0,1)</f>
        <v>1670</v>
      </c>
      <c r="X18" s="5" cm="1">
        <f t="array" ref="X18">_xlfn.XLOOKUP(X$5^$H18,$A$4:$A$1711^$B$4:$B$1711,$D$4:$D$1711,NA(),0,1)</f>
        <v>1578</v>
      </c>
      <c r="Y18" s="5" cm="1">
        <f t="array" ref="Y18">_xlfn.XLOOKUP(Y$5^$H18,$A$4:$A$1711^$B$4:$B$1711,$D$4:$D$1711,NA(),0,1)</f>
        <v>2478</v>
      </c>
      <c r="Z18" s="5" cm="1">
        <f t="array" ref="Z18">_xlfn.XLOOKUP(Z$5^$H18,$A$4:$A$1711^$B$4:$B$1711,$D$4:$D$1711,NA(),0,1)</f>
        <v>1674</v>
      </c>
      <c r="AA18" s="5" cm="1">
        <f t="array" ref="AA18">_xlfn.XLOOKUP(AA$5^$H18,$A$4:$A$1711^$B$4:$B$1711,$D$4:$D$1711,NA(),0,1)</f>
        <v>827</v>
      </c>
      <c r="AB18" s="5" cm="1">
        <f t="array" ref="AB18">_xlfn.XLOOKUP(AB$5^$H18,$A$4:$A$1711^$B$4:$B$1711,$D$4:$D$1711,NA(),0,1)</f>
        <v>1476</v>
      </c>
      <c r="AC18" s="5" cm="1">
        <f t="array" ref="AC18">_xlfn.XLOOKUP(AC$5^$H18,$A$4:$A$1711^$B$4:$B$1711,$D$4:$D$1711,NA(),0,1)</f>
        <v>2480</v>
      </c>
      <c r="AD18" s="5" cm="1">
        <f t="array" ref="AD18">_xlfn.XLOOKUP(AD$5^$H18,$A$4:$A$1711^$B$4:$B$1711,$D$4:$D$1711,NA(),0,1)</f>
        <v>2061</v>
      </c>
      <c r="AE18" s="5" cm="1">
        <f t="array" ref="AE18">_xlfn.XLOOKUP(AE$5^$H18,$A$4:$A$1711^$B$4:$B$1711,$D$4:$D$1711,NA(),0,1)</f>
        <v>1335</v>
      </c>
      <c r="AF18" s="5" cm="1">
        <f t="array" ref="AF18">_xlfn.XLOOKUP(AF$5^$H18,$A$4:$A$1711^$B$4:$B$1711,$D$4:$D$1711,NA(),0,1)</f>
        <v>1155</v>
      </c>
      <c r="AG18" s="5" cm="1">
        <f t="array" ref="AG18">_xlfn.XLOOKUP(AG$5^$H18,$A$4:$A$1711^$B$4:$B$1711,$D$4:$D$1711,NA(),0,1)</f>
        <v>2024</v>
      </c>
      <c r="AH18" s="5" cm="1">
        <f t="array" ref="AH18">_xlfn.XLOOKUP(AH$5^$H18,$A$4:$A$1711^$B$4:$B$1711,$D$4:$D$1711,NA(),0,1)</f>
        <v>1784</v>
      </c>
      <c r="AI18" s="5" cm="1">
        <f t="array" ref="AI18">_xlfn.XLOOKUP(AI$5^$H18,$A$4:$A$1711^$B$4:$B$1711,$D$4:$D$1711,NA(),0,1)</f>
        <v>1382</v>
      </c>
      <c r="AJ18" s="5" cm="1">
        <f t="array" ref="AJ18">_xlfn.XLOOKUP(AJ$5^$H18,$A$4:$A$1711^$B$4:$B$1711,$D$4:$D$1711,NA(),0,1)</f>
        <v>1855</v>
      </c>
      <c r="AK18" s="5" cm="1">
        <f t="array" ref="AK18">_xlfn.XLOOKUP(AK$5^$H18,$A$4:$A$1711^$B$4:$B$1711,$D$4:$D$1711,NA(),0,1)</f>
        <v>2283</v>
      </c>
      <c r="AL18" s="5" cm="1">
        <f t="array" ref="AL18">_xlfn.XLOOKUP(AL$5^$H18,$A$4:$A$1711^$B$4:$B$1711,$D$4:$D$1711,NA(),0,1)</f>
        <v>1830</v>
      </c>
      <c r="AM18" s="5" cm="1">
        <f t="array" ref="AM18">_xlfn.XLOOKUP(AM$5^$H18,$A$4:$A$1711^$B$4:$B$1711,$D$4:$D$1711,NA(),0,1)</f>
        <v>1900</v>
      </c>
    </row>
    <row r="19" spans="1:39" x14ac:dyDescent="0.25">
      <c r="A19" s="5">
        <f t="shared" si="0"/>
        <v>1994</v>
      </c>
      <c r="B19" s="5">
        <f t="shared" si="1"/>
        <v>17</v>
      </c>
      <c r="C19" s="2">
        <v>34446</v>
      </c>
      <c r="D19" s="1">
        <v>1085</v>
      </c>
      <c r="H19" s="5">
        <f t="shared" si="3"/>
        <v>15</v>
      </c>
      <c r="I19" s="5" cm="1">
        <f t="array" ref="I19">_xlfn.XLOOKUP(I$5^$H19,$A$4:$A$1711^B17:B1724,D17:D1724,NA(),0,1)</f>
        <v>697</v>
      </c>
      <c r="J19" s="5" cm="1">
        <f t="array" ref="J19">_xlfn.XLOOKUP(J$5^$H19,$A$4:$A$1711^$B$4:$B$1711,$D$4:$D$1711,NA(),0,1)</f>
        <v>982</v>
      </c>
      <c r="K19" s="5" cm="1">
        <f t="array" ref="K19">_xlfn.XLOOKUP(K$5^$H19,$A$4:$A$1711^$B$4:$B$1711,$D$4:$D$1711,NA(),0,1)</f>
        <v>1218</v>
      </c>
      <c r="L19" s="5" cm="1">
        <f t="array" ref="L19">_xlfn.XLOOKUP(L$5^$H19,$A$4:$A$1711^$B$4:$B$1711,$D$4:$D$1711,NA(),0,1)</f>
        <v>1447</v>
      </c>
      <c r="M19" s="5" cm="1">
        <f t="array" ref="M19">_xlfn.XLOOKUP(M$5^$H19,$A$4:$A$1711^$B$4:$B$1711,$D$4:$D$1711,NA(),0,1)</f>
        <v>1156</v>
      </c>
      <c r="N19" s="5" cm="1">
        <f t="array" ref="N19">_xlfn.XLOOKUP(N$5^$H19,$A$4:$A$1711^$B$4:$B$1711,$D$4:$D$1711,NA(),0,1)</f>
        <v>810</v>
      </c>
      <c r="O19" s="5" cm="1">
        <f t="array" ref="O19">_xlfn.XLOOKUP(O$5^$H19,$A$4:$A$1711^$B$4:$B$1711,$D$4:$D$1711,NA(),0,1)</f>
        <v>1506</v>
      </c>
      <c r="P19" s="5" cm="1">
        <f t="array" ref="P19">_xlfn.XLOOKUP(P$5^$H19,$A$4:$A$1711^$B$4:$B$1711,$D$4:$D$1711,NA(),0,1)</f>
        <v>642</v>
      </c>
      <c r="Q19" s="5" cm="1">
        <f t="array" ref="Q19">_xlfn.XLOOKUP(Q$5^$H19,$A$4:$A$1711^$B$4:$B$1711,$D$4:$D$1711,NA(),0,1)</f>
        <v>1049</v>
      </c>
      <c r="R19" s="5" cm="1">
        <f t="array" ref="R19">_xlfn.XLOOKUP(R$5^$H19,$A$4:$A$1711^$B$4:$B$1711,$D$4:$D$1711,NA(),0,1)</f>
        <v>1293</v>
      </c>
      <c r="S19" s="5" cm="1">
        <f t="array" ref="S19">_xlfn.XLOOKUP(S$5^$H19,$A$4:$A$1711^$B$4:$B$1711,$D$4:$D$1711,NA(),0,1)</f>
        <v>1771</v>
      </c>
      <c r="T19" s="5" cm="1">
        <f t="array" ref="T19">_xlfn.XLOOKUP(T$5^$H19,$A$4:$A$1711^$B$4:$B$1711,$D$4:$D$1711,NA(),0,1)</f>
        <v>1546</v>
      </c>
      <c r="U19" s="5" cm="1">
        <f t="array" ref="U19">_xlfn.XLOOKUP(U$5^$H19,$A$4:$A$1711^$B$4:$B$1711,$D$4:$D$1711,NA(),0,1)</f>
        <v>1261</v>
      </c>
      <c r="V19" s="5" cm="1">
        <f t="array" ref="V19">_xlfn.XLOOKUP(V$5^$H19,$A$4:$A$1711^$B$4:$B$1711,$D$4:$D$1711,NA(),0,1)</f>
        <v>1695</v>
      </c>
      <c r="W19" s="5" cm="1">
        <f t="array" ref="W19">_xlfn.XLOOKUP(W$5^$H19,$A$4:$A$1711^$B$4:$B$1711,$D$4:$D$1711,NA(),0,1)</f>
        <v>1754</v>
      </c>
      <c r="X19" s="5" cm="1">
        <f t="array" ref="X19">_xlfn.XLOOKUP(X$5^$H19,$A$4:$A$1711^$B$4:$B$1711,$D$4:$D$1711,NA(),0,1)</f>
        <v>1606</v>
      </c>
      <c r="Y19" s="5" cm="1">
        <f t="array" ref="Y19">_xlfn.XLOOKUP(Y$5^$H19,$A$4:$A$1711^$B$4:$B$1711,$D$4:$D$1711,NA(),0,1)</f>
        <v>2503</v>
      </c>
      <c r="Z19" s="5" cm="1">
        <f t="array" ref="Z19">_xlfn.XLOOKUP(Z$5^$H19,$A$4:$A$1711^$B$4:$B$1711,$D$4:$D$1711,NA(),0,1)</f>
        <v>1705</v>
      </c>
      <c r="AA19" s="5" cm="1">
        <f t="array" ref="AA19">_xlfn.XLOOKUP(AA$5^$H19,$A$4:$A$1711^$B$4:$B$1711,$D$4:$D$1711,NA(),0,1)</f>
        <v>850</v>
      </c>
      <c r="AB19" s="5" cm="1">
        <f t="array" ref="AB19">_xlfn.XLOOKUP(AB$5^$H19,$A$4:$A$1711^$B$4:$B$1711,$D$4:$D$1711,NA(),0,1)</f>
        <v>1539</v>
      </c>
      <c r="AC19" s="5" cm="1">
        <f t="array" ref="AC19">_xlfn.XLOOKUP(AC$5^$H19,$A$4:$A$1711^$B$4:$B$1711,$D$4:$D$1711,NA(),0,1)</f>
        <v>2477</v>
      </c>
      <c r="AD19" s="5" cm="1">
        <f t="array" ref="AD19">_xlfn.XLOOKUP(AD$5^$H19,$A$4:$A$1711^$B$4:$B$1711,$D$4:$D$1711,NA(),0,1)</f>
        <v>2115</v>
      </c>
      <c r="AE19" s="5" cm="1">
        <f t="array" ref="AE19">_xlfn.XLOOKUP(AE$5^$H19,$A$4:$A$1711^$B$4:$B$1711,$D$4:$D$1711,NA(),0,1)</f>
        <v>1299</v>
      </c>
      <c r="AF19" s="5" cm="1">
        <f t="array" ref="AF19">_xlfn.XLOOKUP(AF$5^$H19,$A$4:$A$1711^$B$4:$B$1711,$D$4:$D$1711,NA(),0,1)</f>
        <v>1247</v>
      </c>
      <c r="AG19" s="5" cm="1">
        <f t="array" ref="AG19">_xlfn.XLOOKUP(AG$5^$H19,$A$4:$A$1711^$B$4:$B$1711,$D$4:$D$1711,NA(),0,1)</f>
        <v>2097</v>
      </c>
      <c r="AH19" s="5" cm="1">
        <f t="array" ref="AH19">_xlfn.XLOOKUP(AH$5^$H19,$A$4:$A$1711^$B$4:$B$1711,$D$4:$D$1711,NA(),0,1)</f>
        <v>1845</v>
      </c>
      <c r="AI19" s="5" cm="1">
        <f t="array" ref="AI19">_xlfn.XLOOKUP(AI$5^$H19,$A$4:$A$1711^$B$4:$B$1711,$D$4:$D$1711,NA(),0,1)</f>
        <v>1397</v>
      </c>
      <c r="AJ19" s="5" cm="1">
        <f t="array" ref="AJ19">_xlfn.XLOOKUP(AJ$5^$H19,$A$4:$A$1711^$B$4:$B$1711,$D$4:$D$1711,NA(),0,1)</f>
        <v>1930</v>
      </c>
      <c r="AK19" s="5" cm="1">
        <f t="array" ref="AK19">_xlfn.XLOOKUP(AK$5^$H19,$A$4:$A$1711^$B$4:$B$1711,$D$4:$D$1711,NA(),0,1)</f>
        <v>2333</v>
      </c>
      <c r="AL19" s="5" cm="1">
        <f t="array" ref="AL19">_xlfn.XLOOKUP(AL$5^$H19,$A$4:$A$1711^$B$4:$B$1711,$D$4:$D$1711,NA(),0,1)</f>
        <v>1846</v>
      </c>
      <c r="AM19" s="5" cm="1">
        <f t="array" ref="AM19">_xlfn.XLOOKUP(AM$5^$H19,$A$4:$A$1711^$B$4:$B$1711,$D$4:$D$1711,NA(),0,1)</f>
        <v>1960</v>
      </c>
    </row>
    <row r="20" spans="1:39" x14ac:dyDescent="0.25">
      <c r="A20" s="5">
        <f t="shared" si="0"/>
        <v>1994</v>
      </c>
      <c r="B20" s="5">
        <f t="shared" si="1"/>
        <v>18</v>
      </c>
      <c r="C20" s="2">
        <v>34453</v>
      </c>
      <c r="D20" s="1">
        <v>1161</v>
      </c>
      <c r="H20" s="5">
        <f t="shared" si="3"/>
        <v>16</v>
      </c>
      <c r="I20" s="5" cm="1">
        <f t="array" ref="I20">_xlfn.XLOOKUP(I$5^$H20,$A$4:$A$1711^B18:B1725,D18:D1725,NA(),0,1)</f>
        <v>729</v>
      </c>
      <c r="J20" s="5" cm="1">
        <f t="array" ref="J20">_xlfn.XLOOKUP(J$5^$H20,$A$4:$A$1711^$B$4:$B$1711,$D$4:$D$1711,NA(),0,1)</f>
        <v>977</v>
      </c>
      <c r="K20" s="5" cm="1">
        <f t="array" ref="K20">_xlfn.XLOOKUP(K$5^$H20,$A$4:$A$1711^$B$4:$B$1711,$D$4:$D$1711,NA(),0,1)</f>
        <v>1269</v>
      </c>
      <c r="L20" s="5" cm="1">
        <f t="array" ref="L20">_xlfn.XLOOKUP(L$5^$H20,$A$4:$A$1711^$B$4:$B$1711,$D$4:$D$1711,NA(),0,1)</f>
        <v>1452</v>
      </c>
      <c r="M20" s="5" cm="1">
        <f t="array" ref="M20">_xlfn.XLOOKUP(M$5^$H20,$A$4:$A$1711^$B$4:$B$1711,$D$4:$D$1711,NA(),0,1)</f>
        <v>1123</v>
      </c>
      <c r="N20" s="5" cm="1">
        <f t="array" ref="N20">_xlfn.XLOOKUP(N$5^$H20,$A$4:$A$1711^$B$4:$B$1711,$D$4:$D$1711,NA(),0,1)</f>
        <v>844</v>
      </c>
      <c r="O20" s="5" cm="1">
        <f t="array" ref="O20">_xlfn.XLOOKUP(O$5^$H20,$A$4:$A$1711^$B$4:$B$1711,$D$4:$D$1711,NA(),0,1)</f>
        <v>1575</v>
      </c>
      <c r="P20" s="5" cm="1">
        <f t="array" ref="P20">_xlfn.XLOOKUP(P$5^$H20,$A$4:$A$1711^$B$4:$B$1711,$D$4:$D$1711,NA(),0,1)</f>
        <v>702</v>
      </c>
      <c r="Q20" s="5" cm="1">
        <f t="array" ref="Q20">_xlfn.XLOOKUP(Q$5^$H20,$A$4:$A$1711^$B$4:$B$1711,$D$4:$D$1711,NA(),0,1)</f>
        <v>1077</v>
      </c>
      <c r="R20" s="5" cm="1">
        <f t="array" ref="R20">_xlfn.XLOOKUP(R$5^$H20,$A$4:$A$1711^$B$4:$B$1711,$D$4:$D$1711,NA(),0,1)</f>
        <v>1343</v>
      </c>
      <c r="S20" s="5" cm="1">
        <f t="array" ref="S20">_xlfn.XLOOKUP(S$5^$H20,$A$4:$A$1711^$B$4:$B$1711,$D$4:$D$1711,NA(),0,1)</f>
        <v>1851</v>
      </c>
      <c r="T20" s="5" cm="1">
        <f t="array" ref="T20">_xlfn.XLOOKUP(T$5^$H20,$A$4:$A$1711^$B$4:$B$1711,$D$4:$D$1711,NA(),0,1)</f>
        <v>1564</v>
      </c>
      <c r="U20" s="5" cm="1">
        <f t="array" ref="U20">_xlfn.XLOOKUP(U$5^$H20,$A$4:$A$1711^$B$4:$B$1711,$D$4:$D$1711,NA(),0,1)</f>
        <v>1285</v>
      </c>
      <c r="V20" s="5" cm="1">
        <f t="array" ref="V20">_xlfn.XLOOKUP(V$5^$H20,$A$4:$A$1711^$B$4:$B$1711,$D$4:$D$1711,NA(),0,1)</f>
        <v>1741</v>
      </c>
      <c r="W20" s="5" cm="1">
        <f t="array" ref="W20">_xlfn.XLOOKUP(W$5^$H20,$A$4:$A$1711^$B$4:$B$1711,$D$4:$D$1711,NA(),0,1)</f>
        <v>1828</v>
      </c>
      <c r="X20" s="5" cm="1">
        <f t="array" ref="X20">_xlfn.XLOOKUP(X$5^$H20,$A$4:$A$1711^$B$4:$B$1711,$D$4:$D$1711,NA(),0,1)</f>
        <v>1654</v>
      </c>
      <c r="Y20" s="5" cm="1">
        <f t="array" ref="Y20">_xlfn.XLOOKUP(Y$5^$H20,$A$4:$A$1711^$B$4:$B$1711,$D$4:$D$1711,NA(),0,1)</f>
        <v>2546</v>
      </c>
      <c r="Z20" s="5" cm="1">
        <f t="array" ref="Z20">_xlfn.XLOOKUP(Z$5^$H20,$A$4:$A$1711^$B$4:$B$1711,$D$4:$D$1711,NA(),0,1)</f>
        <v>1734</v>
      </c>
      <c r="AA20" s="5" cm="1">
        <f t="array" ref="AA20">_xlfn.XLOOKUP(AA$5^$H20,$A$4:$A$1711^$B$4:$B$1711,$D$4:$D$1711,NA(),0,1)</f>
        <v>899</v>
      </c>
      <c r="AB20" s="5" cm="1">
        <f t="array" ref="AB20">_xlfn.XLOOKUP(AB$5^$H20,$A$4:$A$1711^$B$4:$B$1711,$D$4:$D$1711,NA(),0,1)</f>
        <v>1628</v>
      </c>
      <c r="AC20" s="5" cm="1">
        <f t="array" ref="AC20">_xlfn.XLOOKUP(AC$5^$H20,$A$4:$A$1711^$B$4:$B$1711,$D$4:$D$1711,NA(),0,1)</f>
        <v>2484</v>
      </c>
      <c r="AD20" s="5" cm="1">
        <f t="array" ref="AD20">_xlfn.XLOOKUP(AD$5^$H20,$A$4:$A$1711^$B$4:$B$1711,$D$4:$D$1711,NA(),0,1)</f>
        <v>2189</v>
      </c>
      <c r="AE20" s="5" cm="1">
        <f t="array" ref="AE20">_xlfn.XLOOKUP(AE$5^$H20,$A$4:$A$1711^$B$4:$B$1711,$D$4:$D$1711,NA(),0,1)</f>
        <v>1281</v>
      </c>
      <c r="AF20" s="5" cm="1">
        <f t="array" ref="AF20">_xlfn.XLOOKUP(AF$5^$H20,$A$4:$A$1711^$B$4:$B$1711,$D$4:$D$1711,NA(),0,1)</f>
        <v>1339</v>
      </c>
      <c r="AG20" s="5" cm="1">
        <f t="array" ref="AG20">_xlfn.XLOOKUP(AG$5^$H20,$A$4:$A$1711^$B$4:$B$1711,$D$4:$D$1711,NA(),0,1)</f>
        <v>2140</v>
      </c>
      <c r="AH20" s="5" cm="1">
        <f t="array" ref="AH20">_xlfn.XLOOKUP(AH$5^$H20,$A$4:$A$1711^$B$4:$B$1711,$D$4:$D$1711,NA(),0,1)</f>
        <v>1883</v>
      </c>
      <c r="AI20" s="5" cm="1">
        <f t="array" ref="AI20">_xlfn.XLOOKUP(AI$5^$H20,$A$4:$A$1711^$B$4:$B$1711,$D$4:$D$1711,NA(),0,1)</f>
        <v>1450</v>
      </c>
      <c r="AJ20" s="5" cm="1">
        <f t="array" ref="AJ20">_xlfn.XLOOKUP(AJ$5^$H20,$A$4:$A$1711^$B$4:$B$1711,$D$4:$D$1711,NA(),0,1)</f>
        <v>2009</v>
      </c>
      <c r="AK20" s="5" cm="1">
        <f t="array" ref="AK20">_xlfn.XLOOKUP(AK$5^$H20,$A$4:$A$1711^$B$4:$B$1711,$D$4:$D$1711,NA(),0,1)</f>
        <v>2425</v>
      </c>
      <c r="AL20" s="5" cm="1">
        <f t="array" ref="AL20">_xlfn.XLOOKUP(AL$5^$H20,$A$4:$A$1711^$B$4:$B$1711,$D$4:$D$1711,NA(),0,1)</f>
        <v>1934</v>
      </c>
      <c r="AM20" s="5" cm="1">
        <f t="array" ref="AM20">_xlfn.XLOOKUP(AM$5^$H20,$A$4:$A$1711^$B$4:$B$1711,$D$4:$D$1711,NA(),0,1)</f>
        <v>2063</v>
      </c>
    </row>
    <row r="21" spans="1:39" x14ac:dyDescent="0.25">
      <c r="A21" s="5">
        <f t="shared" si="0"/>
        <v>1994</v>
      </c>
      <c r="B21" s="5">
        <f t="shared" si="1"/>
        <v>19</v>
      </c>
      <c r="C21" s="2">
        <v>34460</v>
      </c>
      <c r="D21" s="1">
        <v>1237</v>
      </c>
      <c r="H21" s="5">
        <f t="shared" si="3"/>
        <v>17</v>
      </c>
      <c r="I21" s="5" cm="1">
        <f t="array" ref="I21">_xlfn.XLOOKUP(I$5^$H21,$A$4:$A$1711^B19:B1726,D19:D1726,NA(),0,1)</f>
        <v>819</v>
      </c>
      <c r="J21" s="5" cm="1">
        <f t="array" ref="J21">_xlfn.XLOOKUP(J$5^$H21,$A$4:$A$1711^$B$4:$B$1711,$D$4:$D$1711,NA(),0,1)</f>
        <v>1008</v>
      </c>
      <c r="K21" s="5" cm="1">
        <f t="array" ref="K21">_xlfn.XLOOKUP(K$5^$H21,$A$4:$A$1711^$B$4:$B$1711,$D$4:$D$1711,NA(),0,1)</f>
        <v>1326</v>
      </c>
      <c r="L21" s="5" cm="1">
        <f t="array" ref="L21">_xlfn.XLOOKUP(L$5^$H21,$A$4:$A$1711^$B$4:$B$1711,$D$4:$D$1711,NA(),0,1)</f>
        <v>1457</v>
      </c>
      <c r="M21" s="5" cm="1">
        <f t="array" ref="M21">_xlfn.XLOOKUP(M$5^$H21,$A$4:$A$1711^$B$4:$B$1711,$D$4:$D$1711,NA(),0,1)</f>
        <v>1144</v>
      </c>
      <c r="N21" s="5" cm="1">
        <f t="array" ref="N21">_xlfn.XLOOKUP(N$5^$H21,$A$4:$A$1711^$B$4:$B$1711,$D$4:$D$1711,NA(),0,1)</f>
        <v>947</v>
      </c>
      <c r="O21" s="5" cm="1">
        <f t="array" ref="O21">_xlfn.XLOOKUP(O$5^$H21,$A$4:$A$1711^$B$4:$B$1711,$D$4:$D$1711,NA(),0,1)</f>
        <v>1606</v>
      </c>
      <c r="P21" s="5" cm="1">
        <f t="array" ref="P21">_xlfn.XLOOKUP(P$5^$H21,$A$4:$A$1711^$B$4:$B$1711,$D$4:$D$1711,NA(),0,1)</f>
        <v>754</v>
      </c>
      <c r="Q21" s="5" cm="1">
        <f t="array" ref="Q21">_xlfn.XLOOKUP(Q$5^$H21,$A$4:$A$1711^$B$4:$B$1711,$D$4:$D$1711,NA(),0,1)</f>
        <v>1155</v>
      </c>
      <c r="R21" s="5" cm="1">
        <f t="array" ref="R21">_xlfn.XLOOKUP(R$5^$H21,$A$4:$A$1711^$B$4:$B$1711,$D$4:$D$1711,NA(),0,1)</f>
        <v>1416</v>
      </c>
      <c r="S21" s="5" cm="1">
        <f t="array" ref="S21">_xlfn.XLOOKUP(S$5^$H21,$A$4:$A$1711^$B$4:$B$1711,$D$4:$D$1711,NA(),0,1)</f>
        <v>1904</v>
      </c>
      <c r="T21" s="5" cm="1">
        <f t="array" ref="T21">_xlfn.XLOOKUP(T$5^$H21,$A$4:$A$1711^$B$4:$B$1711,$D$4:$D$1711,NA(),0,1)</f>
        <v>1651</v>
      </c>
      <c r="U21" s="5" cm="1">
        <f t="array" ref="U21">_xlfn.XLOOKUP(U$5^$H21,$A$4:$A$1711^$B$4:$B$1711,$D$4:$D$1711,NA(),0,1)</f>
        <v>1371</v>
      </c>
      <c r="V21" s="5" cm="1">
        <f t="array" ref="V21">_xlfn.XLOOKUP(V$5^$H21,$A$4:$A$1711^$B$4:$B$1711,$D$4:$D$1711,NA(),0,1)</f>
        <v>1823</v>
      </c>
      <c r="W21" s="5" cm="1">
        <f t="array" ref="W21">_xlfn.XLOOKUP(W$5^$H21,$A$4:$A$1711^$B$4:$B$1711,$D$4:$D$1711,NA(),0,1)</f>
        <v>1912</v>
      </c>
      <c r="X21" s="5" cm="1">
        <f t="array" ref="X21">_xlfn.XLOOKUP(X$5^$H21,$A$4:$A$1711^$B$4:$B$1711,$D$4:$D$1711,NA(),0,1)</f>
        <v>1685</v>
      </c>
      <c r="Y21" s="5" cm="1">
        <f t="array" ref="Y21">_xlfn.XLOOKUP(Y$5^$H21,$A$4:$A$1711^$B$4:$B$1711,$D$4:$D$1711,NA(),0,1)</f>
        <v>2576</v>
      </c>
      <c r="Z21" s="5" cm="1">
        <f t="array" ref="Z21">_xlfn.XLOOKUP(Z$5^$H21,$A$4:$A$1711^$B$4:$B$1711,$D$4:$D$1711,NA(),0,1)</f>
        <v>1776</v>
      </c>
      <c r="AA21" s="5" cm="1">
        <f t="array" ref="AA21">_xlfn.XLOOKUP(AA$5^$H21,$A$4:$A$1711^$B$4:$B$1711,$D$4:$D$1711,NA(),0,1)</f>
        <v>981</v>
      </c>
      <c r="AB21" s="5" cm="1">
        <f t="array" ref="AB21">_xlfn.XLOOKUP(AB$5^$H21,$A$4:$A$1711^$B$4:$B$1711,$D$4:$D$1711,NA(),0,1)</f>
        <v>1711</v>
      </c>
      <c r="AC21" s="5" cm="1">
        <f t="array" ref="AC21">_xlfn.XLOOKUP(AC$5^$H21,$A$4:$A$1711^$B$4:$B$1711,$D$4:$D$1711,NA(),0,1)</f>
        <v>2557</v>
      </c>
      <c r="AD21" s="5" cm="1">
        <f t="array" ref="AD21">_xlfn.XLOOKUP(AD$5^$H21,$A$4:$A$1711^$B$4:$B$1711,$D$4:$D$1711,NA(),0,1)</f>
        <v>2256</v>
      </c>
      <c r="AE21" s="5" cm="1">
        <f t="array" ref="AE21">_xlfn.XLOOKUP(AE$5^$H21,$A$4:$A$1711^$B$4:$B$1711,$D$4:$D$1711,NA(),0,1)</f>
        <v>1343</v>
      </c>
      <c r="AF21" s="5" cm="1">
        <f t="array" ref="AF21">_xlfn.XLOOKUP(AF$5^$H21,$A$4:$A$1711^$B$4:$B$1711,$D$4:$D$1711,NA(),0,1)</f>
        <v>1462</v>
      </c>
      <c r="AG21" s="5" cm="1">
        <f t="array" ref="AG21">_xlfn.XLOOKUP(AG$5^$H21,$A$4:$A$1711^$B$4:$B$1711,$D$4:$D$1711,NA(),0,1)</f>
        <v>2210</v>
      </c>
      <c r="AH21" s="5" cm="1">
        <f t="array" ref="AH21">_xlfn.XLOOKUP(AH$5^$H21,$A$4:$A$1711^$B$4:$B$1711,$D$4:$D$1711,NA(),0,1)</f>
        <v>1898</v>
      </c>
      <c r="AI21" s="5" cm="1">
        <f t="array" ref="AI21">_xlfn.XLOOKUP(AI$5^$H21,$A$4:$A$1711^$B$4:$B$1711,$D$4:$D$1711,NA(),0,1)</f>
        <v>1490</v>
      </c>
      <c r="AJ21" s="5" cm="1">
        <f t="array" ref="AJ21">_xlfn.XLOOKUP(AJ$5^$H21,$A$4:$A$1711^$B$4:$B$1711,$D$4:$D$1711,NA(),0,1)</f>
        <v>2063</v>
      </c>
      <c r="AK21" s="5" cm="1">
        <f t="array" ref="AK21">_xlfn.XLOOKUP(AK$5^$H21,$A$4:$A$1711^$B$4:$B$1711,$D$4:$D$1711,NA(),0,1)</f>
        <v>2484</v>
      </c>
      <c r="AL21" s="5" cm="1">
        <f t="array" ref="AL21">_xlfn.XLOOKUP(AL$5^$H21,$A$4:$A$1711^$B$4:$B$1711,$D$4:$D$1711,NA(),0,1)</f>
        <v>2041</v>
      </c>
      <c r="AM21" s="5" cm="1">
        <f t="array" ref="AM21">_xlfn.XLOOKUP(AM$5^$H21,$A$4:$A$1711^$B$4:$B$1711,$D$4:$D$1711,NA(),0,1)</f>
        <v>2142</v>
      </c>
    </row>
    <row r="22" spans="1:39" x14ac:dyDescent="0.25">
      <c r="A22" s="5">
        <f t="shared" si="0"/>
        <v>1994</v>
      </c>
      <c r="B22" s="5">
        <f t="shared" si="1"/>
        <v>20</v>
      </c>
      <c r="C22" s="2">
        <v>34467</v>
      </c>
      <c r="D22" s="1">
        <v>1325</v>
      </c>
      <c r="H22" s="5">
        <f t="shared" si="3"/>
        <v>18</v>
      </c>
      <c r="I22" s="5" cm="1">
        <f t="array" ref="I22">_xlfn.XLOOKUP(I$5^$H22,$A$4:$A$1711^B20:B1727,D20:D1727,NA(),0,1)</f>
        <v>879</v>
      </c>
      <c r="J22" s="5" cm="1">
        <f t="array" ref="J22">_xlfn.XLOOKUP(J$5^$H22,$A$4:$A$1711^$B$4:$B$1711,$D$4:$D$1711,NA(),0,1)</f>
        <v>1063</v>
      </c>
      <c r="K22" s="5" cm="1">
        <f t="array" ref="K22">_xlfn.XLOOKUP(K$5^$H22,$A$4:$A$1711^$B$4:$B$1711,$D$4:$D$1711,NA(),0,1)</f>
        <v>1396</v>
      </c>
      <c r="L22" s="5" cm="1">
        <f t="array" ref="L22">_xlfn.XLOOKUP(L$5^$H22,$A$4:$A$1711^$B$4:$B$1711,$D$4:$D$1711,NA(),0,1)</f>
        <v>1495</v>
      </c>
      <c r="M22" s="5" cm="1">
        <f t="array" ref="M22">_xlfn.XLOOKUP(M$5^$H22,$A$4:$A$1711^$B$4:$B$1711,$D$4:$D$1711,NA(),0,1)</f>
        <v>1182</v>
      </c>
      <c r="N22" s="5" cm="1">
        <f t="array" ref="N22">_xlfn.XLOOKUP(N$5^$H22,$A$4:$A$1711^$B$4:$B$1711,$D$4:$D$1711,NA(),0,1)</f>
        <v>1054</v>
      </c>
      <c r="O22" s="5" cm="1">
        <f t="array" ref="O22">_xlfn.XLOOKUP(O$5^$H22,$A$4:$A$1711^$B$4:$B$1711,$D$4:$D$1711,NA(),0,1)</f>
        <v>1645</v>
      </c>
      <c r="P22" s="5" cm="1">
        <f t="array" ref="P22">_xlfn.XLOOKUP(P$5^$H22,$A$4:$A$1711^$B$4:$B$1711,$D$4:$D$1711,NA(),0,1)</f>
        <v>836</v>
      </c>
      <c r="Q22" s="5" cm="1">
        <f t="array" ref="Q22">_xlfn.XLOOKUP(Q$5^$H22,$A$4:$A$1711^$B$4:$B$1711,$D$4:$D$1711,NA(),0,1)</f>
        <v>1227</v>
      </c>
      <c r="R22" s="5" cm="1">
        <f t="array" ref="R22">_xlfn.XLOOKUP(R$5^$H22,$A$4:$A$1711^$B$4:$B$1711,$D$4:$D$1711,NA(),0,1)</f>
        <v>1455</v>
      </c>
      <c r="S22" s="5" cm="1">
        <f t="array" ref="S22">_xlfn.XLOOKUP(S$5^$H22,$A$4:$A$1711^$B$4:$B$1711,$D$4:$D$1711,NA(),0,1)</f>
        <v>1989</v>
      </c>
      <c r="T22" s="5" cm="1">
        <f t="array" ref="T22">_xlfn.XLOOKUP(T$5^$H22,$A$4:$A$1711^$B$4:$B$1711,$D$4:$D$1711,NA(),0,1)</f>
        <v>1747</v>
      </c>
      <c r="U22" s="5" cm="1">
        <f t="array" ref="U22">_xlfn.XLOOKUP(U$5^$H22,$A$4:$A$1711^$B$4:$B$1711,$D$4:$D$1711,NA(),0,1)</f>
        <v>1436</v>
      </c>
      <c r="V22" s="5" cm="1">
        <f t="array" ref="V22">_xlfn.XLOOKUP(V$5^$H22,$A$4:$A$1711^$B$4:$B$1711,$D$4:$D$1711,NA(),0,1)</f>
        <v>1911</v>
      </c>
      <c r="W22" s="5" cm="1">
        <f t="array" ref="W22">_xlfn.XLOOKUP(W$5^$H22,$A$4:$A$1711^$B$4:$B$1711,$D$4:$D$1711,NA(),0,1)</f>
        <v>1994</v>
      </c>
      <c r="X22" s="5" cm="1">
        <f t="array" ref="X22">_xlfn.XLOOKUP(X$5^$H22,$A$4:$A$1711^$B$4:$B$1711,$D$4:$D$1711,NA(),0,1)</f>
        <v>1757</v>
      </c>
      <c r="Y22" s="5" cm="1">
        <f t="array" ref="Y22">_xlfn.XLOOKUP(Y$5^$H22,$A$4:$A$1711^$B$4:$B$1711,$D$4:$D$1711,NA(),0,1)</f>
        <v>2606</v>
      </c>
      <c r="Z22" s="5" cm="1">
        <f t="array" ref="Z22">_xlfn.XLOOKUP(Z$5^$H22,$A$4:$A$1711^$B$4:$B$1711,$D$4:$D$1711,NA(),0,1)</f>
        <v>1866</v>
      </c>
      <c r="AA22" s="5" cm="1">
        <f t="array" ref="AA22">_xlfn.XLOOKUP(AA$5^$H22,$A$4:$A$1711^$B$4:$B$1711,$D$4:$D$1711,NA(),0,1)</f>
        <v>1055</v>
      </c>
      <c r="AB22" s="5" cm="1">
        <f t="array" ref="AB22">_xlfn.XLOOKUP(AB$5^$H22,$A$4:$A$1711^$B$4:$B$1711,$D$4:$D$1711,NA(),0,1)</f>
        <v>1785</v>
      </c>
      <c r="AC22" s="5" cm="1">
        <f t="array" ref="AC22">_xlfn.XLOOKUP(AC$5^$H22,$A$4:$A$1711^$B$4:$B$1711,$D$4:$D$1711,NA(),0,1)</f>
        <v>2625</v>
      </c>
      <c r="AD22" s="5" cm="1">
        <f t="array" ref="AD22">_xlfn.XLOOKUP(AD$5^$H22,$A$4:$A$1711^$B$4:$B$1711,$D$4:$D$1711,NA(),0,1)</f>
        <v>2301</v>
      </c>
      <c r="AE22" s="5" cm="1">
        <f t="array" ref="AE22">_xlfn.XLOOKUP(AE$5^$H22,$A$4:$A$1711^$B$4:$B$1711,$D$4:$D$1711,NA(),0,1)</f>
        <v>1432</v>
      </c>
      <c r="AF22" s="5" cm="1">
        <f t="array" ref="AF22">_xlfn.XLOOKUP(AF$5^$H22,$A$4:$A$1711^$B$4:$B$1711,$D$4:$D$1711,NA(),0,1)</f>
        <v>1547</v>
      </c>
      <c r="AG22" s="5" cm="1">
        <f t="array" ref="AG22">_xlfn.XLOOKUP(AG$5^$H22,$A$4:$A$1711^$B$4:$B$1711,$D$4:$D$1711,NA(),0,1)</f>
        <v>2319</v>
      </c>
      <c r="AH22" s="5" cm="1">
        <f t="array" ref="AH22">_xlfn.XLOOKUP(AH$5^$H22,$A$4:$A$1711^$B$4:$B$1711,$D$4:$D$1711,NA(),0,1)</f>
        <v>1958</v>
      </c>
      <c r="AI22" s="5" cm="1">
        <f t="array" ref="AI22">_xlfn.XLOOKUP(AI$5^$H22,$A$4:$A$1711^$B$4:$B$1711,$D$4:$D$1711,NA(),0,1)</f>
        <v>1567</v>
      </c>
      <c r="AJ22" s="5" cm="1">
        <f t="array" ref="AJ22">_xlfn.XLOOKUP(AJ$5^$H22,$A$4:$A$1711^$B$4:$B$1711,$D$4:$D$1711,NA(),0,1)</f>
        <v>2141</v>
      </c>
      <c r="AK22" s="5" cm="1">
        <f t="array" ref="AK22">_xlfn.XLOOKUP(AK$5^$H22,$A$4:$A$1711^$B$4:$B$1711,$D$4:$D$1711,NA(),0,1)</f>
        <v>2569</v>
      </c>
      <c r="AL22" s="5" cm="1">
        <f t="array" ref="AL22">_xlfn.XLOOKUP(AL$5^$H22,$A$4:$A$1711^$B$4:$B$1711,$D$4:$D$1711,NA(),0,1)</f>
        <v>2145</v>
      </c>
      <c r="AM22" s="5" cm="1">
        <f t="array" ref="AM22">_xlfn.XLOOKUP(AM$5^$H22,$A$4:$A$1711^$B$4:$B$1711,$D$4:$D$1711,NA(),0,1)</f>
        <v>2205</v>
      </c>
    </row>
    <row r="23" spans="1:39" x14ac:dyDescent="0.25">
      <c r="A23" s="5">
        <f t="shared" si="0"/>
        <v>1994</v>
      </c>
      <c r="B23" s="5">
        <f t="shared" si="1"/>
        <v>21</v>
      </c>
      <c r="C23" s="2">
        <v>34474</v>
      </c>
      <c r="D23" s="1">
        <v>1403</v>
      </c>
      <c r="H23" s="5">
        <f t="shared" si="3"/>
        <v>19</v>
      </c>
      <c r="I23" s="5" cm="1">
        <f t="array" ref="I23">_xlfn.XLOOKUP(I$5^$H23,$A$4:$A$1711^B21:B1728,D21:D1728,NA(),0,1)</f>
        <v>945</v>
      </c>
      <c r="J23" s="5" cm="1">
        <f t="array" ref="J23">_xlfn.XLOOKUP(J$5^$H23,$A$4:$A$1711^$B$4:$B$1711,$D$4:$D$1711,NA(),0,1)</f>
        <v>1133</v>
      </c>
      <c r="K23" s="5" cm="1">
        <f t="array" ref="K23">_xlfn.XLOOKUP(K$5^$H23,$A$4:$A$1711^$B$4:$B$1711,$D$4:$D$1711,NA(),0,1)</f>
        <v>1490</v>
      </c>
      <c r="L23" s="5" cm="1">
        <f t="array" ref="L23">_xlfn.XLOOKUP(L$5^$H23,$A$4:$A$1711^$B$4:$B$1711,$D$4:$D$1711,NA(),0,1)</f>
        <v>1571</v>
      </c>
      <c r="M23" s="5" cm="1">
        <f t="array" ref="M23">_xlfn.XLOOKUP(M$5^$H23,$A$4:$A$1711^$B$4:$B$1711,$D$4:$D$1711,NA(),0,1)</f>
        <v>1242</v>
      </c>
      <c r="N23" s="5" cm="1">
        <f t="array" ref="N23">_xlfn.XLOOKUP(N$5^$H23,$A$4:$A$1711^$B$4:$B$1711,$D$4:$D$1711,NA(),0,1)</f>
        <v>1157</v>
      </c>
      <c r="O23" s="5" cm="1">
        <f t="array" ref="O23">_xlfn.XLOOKUP(O$5^$H23,$A$4:$A$1711^$B$4:$B$1711,$D$4:$D$1711,NA(),0,1)</f>
        <v>1707</v>
      </c>
      <c r="P23" s="5" cm="1">
        <f t="array" ref="P23">_xlfn.XLOOKUP(P$5^$H23,$A$4:$A$1711^$B$4:$B$1711,$D$4:$D$1711,NA(),0,1)</f>
        <v>900</v>
      </c>
      <c r="Q23" s="5" cm="1">
        <f t="array" ref="Q23">_xlfn.XLOOKUP(Q$5^$H23,$A$4:$A$1711^$B$4:$B$1711,$D$4:$D$1711,NA(),0,1)</f>
        <v>1303</v>
      </c>
      <c r="R23" s="5" cm="1">
        <f t="array" ref="R23">_xlfn.XLOOKUP(R$5^$H23,$A$4:$A$1711^$B$4:$B$1711,$D$4:$D$1711,NA(),0,1)</f>
        <v>1509</v>
      </c>
      <c r="S23" s="5" cm="1">
        <f t="array" ref="S23">_xlfn.XLOOKUP(S$5^$H23,$A$4:$A$1711^$B$4:$B$1711,$D$4:$D$1711,NA(),0,1)</f>
        <v>2080</v>
      </c>
      <c r="T23" s="5" cm="1">
        <f t="array" ref="T23">_xlfn.XLOOKUP(T$5^$H23,$A$4:$A$1711^$B$4:$B$1711,$D$4:$D$1711,NA(),0,1)</f>
        <v>1842</v>
      </c>
      <c r="U23" s="5" cm="1">
        <f t="array" ref="U23">_xlfn.XLOOKUP(U$5^$H23,$A$4:$A$1711^$B$4:$B$1711,$D$4:$D$1711,NA(),0,1)</f>
        <v>1529</v>
      </c>
      <c r="V23" s="5" cm="1">
        <f t="array" ref="V23">_xlfn.XLOOKUP(V$5^$H23,$A$4:$A$1711^$B$4:$B$1711,$D$4:$D$1711,NA(),0,1)</f>
        <v>2005</v>
      </c>
      <c r="W23" s="5" cm="1">
        <f t="array" ref="W23">_xlfn.XLOOKUP(W$5^$H23,$A$4:$A$1711^$B$4:$B$1711,$D$4:$D$1711,NA(),0,1)</f>
        <v>2091</v>
      </c>
      <c r="X23" s="5" cm="1">
        <f t="array" ref="X23">_xlfn.XLOOKUP(X$5^$H23,$A$4:$A$1711^$B$4:$B$1711,$D$4:$D$1711,NA(),0,1)</f>
        <v>1827</v>
      </c>
      <c r="Y23" s="5" cm="1">
        <f t="array" ref="Y23">_xlfn.XLOOKUP(Y$5^$H23,$A$4:$A$1711^$B$4:$B$1711,$D$4:$D$1711,NA(),0,1)</f>
        <v>2667</v>
      </c>
      <c r="Z23" s="5" cm="1">
        <f t="array" ref="Z23">_xlfn.XLOOKUP(Z$5^$H23,$A$4:$A$1711^$B$4:$B$1711,$D$4:$D$1711,NA(),0,1)</f>
        <v>1964</v>
      </c>
      <c r="AA23" s="5" cm="1">
        <f t="array" ref="AA23">_xlfn.XLOOKUP(AA$5^$H23,$A$4:$A$1711^$B$4:$B$1711,$D$4:$D$1711,NA(),0,1)</f>
        <v>1160</v>
      </c>
      <c r="AB23" s="5" cm="1">
        <f t="array" ref="AB23">_xlfn.XLOOKUP(AB$5^$H23,$A$4:$A$1711^$B$4:$B$1711,$D$4:$D$1711,NA(),0,1)</f>
        <v>1897</v>
      </c>
      <c r="AC23" s="5" cm="1">
        <f t="array" ref="AC23">_xlfn.XLOOKUP(AC$5^$H23,$A$4:$A$1711^$B$4:$B$1711,$D$4:$D$1711,NA(),0,1)</f>
        <v>2681</v>
      </c>
      <c r="AD23" s="5" cm="1">
        <f t="array" ref="AD23">_xlfn.XLOOKUP(AD$5^$H23,$A$4:$A$1711^$B$4:$B$1711,$D$4:$D$1711,NA(),0,1)</f>
        <v>2369</v>
      </c>
      <c r="AE23" s="5" cm="1">
        <f t="array" ref="AE23">_xlfn.XLOOKUP(AE$5^$H23,$A$4:$A$1711^$B$4:$B$1711,$D$4:$D$1711,NA(),0,1)</f>
        <v>1538</v>
      </c>
      <c r="AF23" s="5" cm="1">
        <f t="array" ref="AF23">_xlfn.XLOOKUP(AF$5^$H23,$A$4:$A$1711^$B$4:$B$1711,$D$4:$D$1711,NA(),0,1)</f>
        <v>1653</v>
      </c>
      <c r="AG23" s="5" cm="1">
        <f t="array" ref="AG23">_xlfn.XLOOKUP(AG$5^$H23,$A$4:$A$1711^$B$4:$B$1711,$D$4:$D$1711,NA(),0,1)</f>
        <v>2422</v>
      </c>
      <c r="AH23" s="5" cm="1">
        <f t="array" ref="AH23">_xlfn.XLOOKUP(AH$5^$H23,$A$4:$A$1711^$B$4:$B$1711,$D$4:$D$1711,NA(),0,1)</f>
        <v>2029</v>
      </c>
      <c r="AI23" s="5" cm="1">
        <f t="array" ref="AI23">_xlfn.XLOOKUP(AI$5^$H23,$A$4:$A$1711^$B$4:$B$1711,$D$4:$D$1711,NA(),0,1)</f>
        <v>1643</v>
      </c>
      <c r="AJ23" s="5" cm="1">
        <f t="array" ref="AJ23">_xlfn.XLOOKUP(AJ$5^$H23,$A$4:$A$1711^$B$4:$B$1711,$D$4:$D$1711,NA(),0,1)</f>
        <v>2240</v>
      </c>
      <c r="AK23" s="5" cm="1">
        <f t="array" ref="AK23">_xlfn.XLOOKUP(AK$5^$H23,$A$4:$A$1711^$B$4:$B$1711,$D$4:$D$1711,NA(),0,1)</f>
        <v>2640</v>
      </c>
      <c r="AL23" s="5" cm="1">
        <f t="array" ref="AL23">_xlfn.XLOOKUP(AL$5^$H23,$A$4:$A$1711^$B$4:$B$1711,$D$4:$D$1711,NA(),0,1)</f>
        <v>2255</v>
      </c>
      <c r="AM23" s="5" cm="1">
        <f t="array" ref="AM23">_xlfn.XLOOKUP(AM$5^$H23,$A$4:$A$1711^$B$4:$B$1711,$D$4:$D$1711,NA(),0,1)</f>
        <v>2290</v>
      </c>
    </row>
    <row r="24" spans="1:39" x14ac:dyDescent="0.25">
      <c r="A24" s="5">
        <f t="shared" si="0"/>
        <v>1994</v>
      </c>
      <c r="B24" s="5">
        <f t="shared" si="1"/>
        <v>22</v>
      </c>
      <c r="C24" s="2">
        <v>34481</v>
      </c>
      <c r="D24" s="1">
        <v>1494</v>
      </c>
      <c r="H24" s="5">
        <f t="shared" si="3"/>
        <v>20</v>
      </c>
      <c r="I24" s="5" cm="1">
        <f t="array" ref="I24">_xlfn.XLOOKUP(I$5^$H24,$A$4:$A$1711^B22:B1729,D22:D1729,NA(),0,1)</f>
        <v>1000</v>
      </c>
      <c r="J24" s="5" cm="1">
        <f t="array" ref="J24">_xlfn.XLOOKUP(J$5^$H24,$A$4:$A$1711^$B$4:$B$1711,$D$4:$D$1711,NA(),0,1)</f>
        <v>1191</v>
      </c>
      <c r="K24" s="5" cm="1">
        <f t="array" ref="K24">_xlfn.XLOOKUP(K$5^$H24,$A$4:$A$1711^$B$4:$B$1711,$D$4:$D$1711,NA(),0,1)</f>
        <v>1575</v>
      </c>
      <c r="L24" s="5" cm="1">
        <f t="array" ref="L24">_xlfn.XLOOKUP(L$5^$H24,$A$4:$A$1711^$B$4:$B$1711,$D$4:$D$1711,NA(),0,1)</f>
        <v>1651</v>
      </c>
      <c r="M24" s="5" cm="1">
        <f t="array" ref="M24">_xlfn.XLOOKUP(M$5^$H24,$A$4:$A$1711^$B$4:$B$1711,$D$4:$D$1711,NA(),0,1)</f>
        <v>1283</v>
      </c>
      <c r="N24" s="5" cm="1">
        <f t="array" ref="N24">_xlfn.XLOOKUP(N$5^$H24,$A$4:$A$1711^$B$4:$B$1711,$D$4:$D$1711,NA(),0,1)</f>
        <v>1267</v>
      </c>
      <c r="O24" s="5" cm="1">
        <f t="array" ref="O24">_xlfn.XLOOKUP(O$5^$H24,$A$4:$A$1711^$B$4:$B$1711,$D$4:$D$1711,NA(),0,1)</f>
        <v>1775</v>
      </c>
      <c r="P24" s="5" cm="1">
        <f t="array" ref="P24">_xlfn.XLOOKUP(P$5^$H24,$A$4:$A$1711^$B$4:$B$1711,$D$4:$D$1711,NA(),0,1)</f>
        <v>990</v>
      </c>
      <c r="Q24" s="5" cm="1">
        <f t="array" ref="Q24">_xlfn.XLOOKUP(Q$5^$H24,$A$4:$A$1711^$B$4:$B$1711,$D$4:$D$1711,NA(),0,1)</f>
        <v>1388</v>
      </c>
      <c r="R24" s="5" cm="1">
        <f t="array" ref="R24">_xlfn.XLOOKUP(R$5^$H24,$A$4:$A$1711^$B$4:$B$1711,$D$4:$D$1711,NA(),0,1)</f>
        <v>1599</v>
      </c>
      <c r="S24" s="5" cm="1">
        <f t="array" ref="S24">_xlfn.XLOOKUP(S$5^$H24,$A$4:$A$1711^$B$4:$B$1711,$D$4:$D$1711,NA(),0,1)</f>
        <v>2163</v>
      </c>
      <c r="T24" s="5" cm="1">
        <f t="array" ref="T24">_xlfn.XLOOKUP(T$5^$H24,$A$4:$A$1711^$B$4:$B$1711,$D$4:$D$1711,NA(),0,1)</f>
        <v>1946</v>
      </c>
      <c r="U24" s="5" cm="1">
        <f t="array" ref="U24">_xlfn.XLOOKUP(U$5^$H24,$A$4:$A$1711^$B$4:$B$1711,$D$4:$D$1711,NA(),0,1)</f>
        <v>1614</v>
      </c>
      <c r="V24" s="5" cm="1">
        <f t="array" ref="V24">_xlfn.XLOOKUP(V$5^$H24,$A$4:$A$1711^$B$4:$B$1711,$D$4:$D$1711,NA(),0,1)</f>
        <v>2107</v>
      </c>
      <c r="W24" s="5" cm="1">
        <f t="array" ref="W24">_xlfn.XLOOKUP(W$5^$H24,$A$4:$A$1711^$B$4:$B$1711,$D$4:$D$1711,NA(),0,1)</f>
        <v>2165</v>
      </c>
      <c r="X24" s="5" cm="1">
        <f t="array" ref="X24">_xlfn.XLOOKUP(X$5^$H24,$A$4:$A$1711^$B$4:$B$1711,$D$4:$D$1711,NA(),0,1)</f>
        <v>1919</v>
      </c>
      <c r="Y24" s="5" cm="1">
        <f t="array" ref="Y24">_xlfn.XLOOKUP(Y$5^$H24,$A$4:$A$1711^$B$4:$B$1711,$D$4:$D$1711,NA(),0,1)</f>
        <v>2744</v>
      </c>
      <c r="Z24" s="5" cm="1">
        <f t="array" ref="Z24">_xlfn.XLOOKUP(Z$5^$H24,$A$4:$A$1711^$B$4:$B$1711,$D$4:$D$1711,NA(),0,1)</f>
        <v>2052</v>
      </c>
      <c r="AA24" s="5" cm="1">
        <f t="array" ref="AA24">_xlfn.XLOOKUP(AA$5^$H24,$A$4:$A$1711^$B$4:$B$1711,$D$4:$D$1711,NA(),0,1)</f>
        <v>1267</v>
      </c>
      <c r="AB24" s="5" cm="1">
        <f t="array" ref="AB24">_xlfn.XLOOKUP(AB$5^$H24,$A$4:$A$1711^$B$4:$B$1711,$D$4:$D$1711,NA(),0,1)</f>
        <v>1989</v>
      </c>
      <c r="AC24" s="5" cm="1">
        <f t="array" ref="AC24">_xlfn.XLOOKUP(AC$5^$H24,$A$4:$A$1711^$B$4:$B$1711,$D$4:$D$1711,NA(),0,1)</f>
        <v>2754</v>
      </c>
      <c r="AD24" s="5" cm="1">
        <f t="array" ref="AD24">_xlfn.XLOOKUP(AD$5^$H24,$A$4:$A$1711^$B$4:$B$1711,$D$4:$D$1711,NA(),0,1)</f>
        <v>2444</v>
      </c>
      <c r="AE24" s="5" cm="1">
        <f t="array" ref="AE24">_xlfn.XLOOKUP(AE$5^$H24,$A$4:$A$1711^$B$4:$B$1711,$D$4:$D$1711,NA(),0,1)</f>
        <v>1629</v>
      </c>
      <c r="AF24" s="5" cm="1">
        <f t="array" ref="AF24">_xlfn.XLOOKUP(AF$5^$H24,$A$4:$A$1711^$B$4:$B$1711,$D$4:$D$1711,NA(),0,1)</f>
        <v>1753</v>
      </c>
      <c r="AG24" s="5" cm="1">
        <f t="array" ref="AG24">_xlfn.XLOOKUP(AG$5^$H24,$A$4:$A$1711^$B$4:$B$1711,$D$4:$D$1711,NA(),0,1)</f>
        <v>2503</v>
      </c>
      <c r="AH24" s="5" cm="1">
        <f t="array" ref="AH24">_xlfn.XLOOKUP(AH$5^$H24,$A$4:$A$1711^$B$4:$B$1711,$D$4:$D$1711,NA(),0,1)</f>
        <v>2100</v>
      </c>
      <c r="AI24" s="5" cm="1">
        <f t="array" ref="AI24">_xlfn.XLOOKUP(AI$5^$H24,$A$4:$A$1711^$B$4:$B$1711,$D$4:$D$1711,NA(),0,1)</f>
        <v>1732</v>
      </c>
      <c r="AJ24" s="5" cm="1">
        <f t="array" ref="AJ24">_xlfn.XLOOKUP(AJ$5^$H24,$A$4:$A$1711^$B$4:$B$1711,$D$4:$D$1711,NA(),0,1)</f>
        <v>2336</v>
      </c>
      <c r="AK24" s="5" cm="1">
        <f t="array" ref="AK24">_xlfn.XLOOKUP(AK$5^$H24,$A$4:$A$1711^$B$4:$B$1711,$D$4:$D$1711,NA(),0,1)</f>
        <v>2719</v>
      </c>
      <c r="AL24" s="5" cm="1">
        <f t="array" ref="AL24">_xlfn.XLOOKUP(AL$5^$H24,$A$4:$A$1711^$B$4:$B$1711,$D$4:$D$1711,NA(),0,1)</f>
        <v>2375</v>
      </c>
      <c r="AM24" s="5" cm="1">
        <f t="array" ref="AM24">_xlfn.XLOOKUP(AM$5^$H24,$A$4:$A$1711^$B$4:$B$1711,$D$4:$D$1711,NA(),0,1)</f>
        <v>2391</v>
      </c>
    </row>
    <row r="25" spans="1:39" x14ac:dyDescent="0.25">
      <c r="A25" s="5">
        <f t="shared" si="0"/>
        <v>1994</v>
      </c>
      <c r="B25" s="5">
        <f t="shared" si="1"/>
        <v>23</v>
      </c>
      <c r="C25" s="2">
        <v>34488</v>
      </c>
      <c r="D25" s="1">
        <v>1601</v>
      </c>
      <c r="H25" s="5">
        <f t="shared" si="3"/>
        <v>21</v>
      </c>
      <c r="I25" s="5" cm="1">
        <f t="array" ref="I25">_xlfn.XLOOKUP(I$5^$H25,$A$4:$A$1711^B23:B1730,D23:D1730,NA(),0,1)</f>
        <v>1081</v>
      </c>
      <c r="J25" s="5" cm="1">
        <f t="array" ref="J25">_xlfn.XLOOKUP(J$5^$H25,$A$4:$A$1711^$B$4:$B$1711,$D$4:$D$1711,NA(),0,1)</f>
        <v>1263</v>
      </c>
      <c r="K25" s="5" cm="1">
        <f t="array" ref="K25">_xlfn.XLOOKUP(K$5^$H25,$A$4:$A$1711^$B$4:$B$1711,$D$4:$D$1711,NA(),0,1)</f>
        <v>1658</v>
      </c>
      <c r="L25" s="5" cm="1">
        <f t="array" ref="L25">_xlfn.XLOOKUP(L$5^$H25,$A$4:$A$1711^$B$4:$B$1711,$D$4:$D$1711,NA(),0,1)</f>
        <v>1726</v>
      </c>
      <c r="M25" s="5" cm="1">
        <f t="array" ref="M25">_xlfn.XLOOKUP(M$5^$H25,$A$4:$A$1711^$B$4:$B$1711,$D$4:$D$1711,NA(),0,1)</f>
        <v>1333</v>
      </c>
      <c r="N25" s="5" cm="1">
        <f t="array" ref="N25">_xlfn.XLOOKUP(N$5^$H25,$A$4:$A$1711^$B$4:$B$1711,$D$4:$D$1711,NA(),0,1)</f>
        <v>1354</v>
      </c>
      <c r="O25" s="5" cm="1">
        <f t="array" ref="O25">_xlfn.XLOOKUP(O$5^$H25,$A$4:$A$1711^$B$4:$B$1711,$D$4:$D$1711,NA(),0,1)</f>
        <v>1847</v>
      </c>
      <c r="P25" s="5" cm="1">
        <f t="array" ref="P25">_xlfn.XLOOKUP(P$5^$H25,$A$4:$A$1711^$B$4:$B$1711,$D$4:$D$1711,NA(),0,1)</f>
        <v>1085</v>
      </c>
      <c r="Q25" s="5" cm="1">
        <f t="array" ref="Q25">_xlfn.XLOOKUP(Q$5^$H25,$A$4:$A$1711^$B$4:$B$1711,$D$4:$D$1711,NA(),0,1)</f>
        <v>1477</v>
      </c>
      <c r="R25" s="5" cm="1">
        <f t="array" ref="R25">_xlfn.XLOOKUP(R$5^$H25,$A$4:$A$1711^$B$4:$B$1711,$D$4:$D$1711,NA(),0,1)</f>
        <v>1692</v>
      </c>
      <c r="S25" s="5" cm="1">
        <f t="array" ref="S25">_xlfn.XLOOKUP(S$5^$H25,$A$4:$A$1711^$B$4:$B$1711,$D$4:$D$1711,NA(),0,1)</f>
        <v>2243</v>
      </c>
      <c r="T25" s="5" cm="1">
        <f t="array" ref="T25">_xlfn.XLOOKUP(T$5^$H25,$A$4:$A$1711^$B$4:$B$1711,$D$4:$D$1711,NA(),0,1)</f>
        <v>2053</v>
      </c>
      <c r="U25" s="5" cm="1">
        <f t="array" ref="U25">_xlfn.XLOOKUP(U$5^$H25,$A$4:$A$1711^$B$4:$B$1711,$D$4:$D$1711,NA(),0,1)</f>
        <v>1701</v>
      </c>
      <c r="V25" s="5" cm="1">
        <f t="array" ref="V25">_xlfn.XLOOKUP(V$5^$H25,$A$4:$A$1711^$B$4:$B$1711,$D$4:$D$1711,NA(),0,1)</f>
        <v>2213</v>
      </c>
      <c r="W25" s="5" cm="1">
        <f t="array" ref="W25">_xlfn.XLOOKUP(W$5^$H25,$A$4:$A$1711^$B$4:$B$1711,$D$4:$D$1711,NA(),0,1)</f>
        <v>2268</v>
      </c>
      <c r="X25" s="5" cm="1">
        <f t="array" ref="X25">_xlfn.XLOOKUP(X$5^$H25,$A$4:$A$1711^$B$4:$B$1711,$D$4:$D$1711,NA(),0,1)</f>
        <v>2023</v>
      </c>
      <c r="Y25" s="5" cm="1">
        <f t="array" ref="Y25">_xlfn.XLOOKUP(Y$5^$H25,$A$4:$A$1711^$B$4:$B$1711,$D$4:$D$1711,NA(),0,1)</f>
        <v>2815</v>
      </c>
      <c r="Z25" s="5" cm="1">
        <f t="array" ref="Z25">_xlfn.XLOOKUP(Z$5^$H25,$A$4:$A$1711^$B$4:$B$1711,$D$4:$D$1711,NA(),0,1)</f>
        <v>2142</v>
      </c>
      <c r="AA25" s="5" cm="1">
        <f t="array" ref="AA25">_xlfn.XLOOKUP(AA$5^$H25,$A$4:$A$1711^$B$4:$B$1711,$D$4:$D$1711,NA(),0,1)</f>
        <v>1380</v>
      </c>
      <c r="AB25" s="5" cm="1">
        <f t="array" ref="AB25">_xlfn.XLOOKUP(AB$5^$H25,$A$4:$A$1711^$B$4:$B$1711,$D$4:$D$1711,NA(),0,1)</f>
        <v>2101</v>
      </c>
      <c r="AC25" s="5" cm="1">
        <f t="array" ref="AC25">_xlfn.XLOOKUP(AC$5^$H25,$A$4:$A$1711^$B$4:$B$1711,$D$4:$D$1711,NA(),0,1)</f>
        <v>2825</v>
      </c>
      <c r="AD25" s="5" cm="1">
        <f t="array" ref="AD25">_xlfn.XLOOKUP(AD$5^$H25,$A$4:$A$1711^$B$4:$B$1711,$D$4:$D$1711,NA(),0,1)</f>
        <v>2525</v>
      </c>
      <c r="AE25" s="5" cm="1">
        <f t="array" ref="AE25">_xlfn.XLOOKUP(AE$5^$H25,$A$4:$A$1711^$B$4:$B$1711,$D$4:$D$1711,NA(),0,1)</f>
        <v>1725</v>
      </c>
      <c r="AF25" s="5" cm="1">
        <f t="array" ref="AF25">_xlfn.XLOOKUP(AF$5^$H25,$A$4:$A$1711^$B$4:$B$1711,$D$4:$D$1711,NA(),0,1)</f>
        <v>1867</v>
      </c>
      <c r="AG25" s="5" cm="1">
        <f t="array" ref="AG25">_xlfn.XLOOKUP(AG$5^$H25,$A$4:$A$1711^$B$4:$B$1711,$D$4:$D$1711,NA(),0,1)</f>
        <v>2612</v>
      </c>
      <c r="AH25" s="5" cm="1">
        <f t="array" ref="AH25">_xlfn.XLOOKUP(AH$5^$H25,$A$4:$A$1711^$B$4:$B$1711,$D$4:$D$1711,NA(),0,1)</f>
        <v>2215</v>
      </c>
      <c r="AI25" s="5" cm="1">
        <f t="array" ref="AI25">_xlfn.XLOOKUP(AI$5^$H25,$A$4:$A$1711^$B$4:$B$1711,$D$4:$D$1711,NA(),0,1)</f>
        <v>1819</v>
      </c>
      <c r="AJ25" s="5" cm="1">
        <f t="array" ref="AJ25">_xlfn.XLOOKUP(AJ$5^$H25,$A$4:$A$1711^$B$4:$B$1711,$D$4:$D$1711,NA(),0,1)</f>
        <v>2446</v>
      </c>
      <c r="AK25" s="5" cm="1">
        <f t="array" ref="AK25">_xlfn.XLOOKUP(AK$5^$H25,$A$4:$A$1711^$B$4:$B$1711,$D$4:$D$1711,NA(),0,1)</f>
        <v>2804</v>
      </c>
      <c r="AL25" s="5" cm="1">
        <f t="array" ref="AL25">_xlfn.XLOOKUP(AL$5^$H25,$A$4:$A$1711^$B$4:$B$1711,$D$4:$D$1711,NA(),0,1)</f>
        <v>2476</v>
      </c>
      <c r="AM25" s="5" cm="1">
        <f t="array" ref="AM25">_xlfn.XLOOKUP(AM$5^$H25,$A$4:$A$1711^$B$4:$B$1711,$D$4:$D$1711,NA(),0,1)</f>
        <v>2483</v>
      </c>
    </row>
    <row r="26" spans="1:39" x14ac:dyDescent="0.25">
      <c r="A26" s="5">
        <f t="shared" si="0"/>
        <v>1994</v>
      </c>
      <c r="B26" s="5">
        <f t="shared" si="1"/>
        <v>24</v>
      </c>
      <c r="C26" s="2">
        <v>34495</v>
      </c>
      <c r="D26" s="1">
        <v>1682</v>
      </c>
      <c r="H26" s="5">
        <f t="shared" si="3"/>
        <v>22</v>
      </c>
      <c r="I26" s="5" cm="1">
        <f t="array" ref="I26">_xlfn.XLOOKUP(I$5^$H26,$A$4:$A$1711^B24:B1731,D24:D1731,NA(),0,1)</f>
        <v>1161</v>
      </c>
      <c r="J26" s="5" cm="1">
        <f t="array" ref="J26">_xlfn.XLOOKUP(J$5^$H26,$A$4:$A$1711^$B$4:$B$1711,$D$4:$D$1711,NA(),0,1)</f>
        <v>1353</v>
      </c>
      <c r="K26" s="5" cm="1">
        <f t="array" ref="K26">_xlfn.XLOOKUP(K$5^$H26,$A$4:$A$1711^$B$4:$B$1711,$D$4:$D$1711,NA(),0,1)</f>
        <v>1753</v>
      </c>
      <c r="L26" s="5" cm="1">
        <f t="array" ref="L26">_xlfn.XLOOKUP(L$5^$H26,$A$4:$A$1711^$B$4:$B$1711,$D$4:$D$1711,NA(),0,1)</f>
        <v>1796</v>
      </c>
      <c r="M26" s="5" cm="1">
        <f t="array" ref="M26">_xlfn.XLOOKUP(M$5^$H26,$A$4:$A$1711^$B$4:$B$1711,$D$4:$D$1711,NA(),0,1)</f>
        <v>1382</v>
      </c>
      <c r="N26" s="5" cm="1">
        <f t="array" ref="N26">_xlfn.XLOOKUP(N$5^$H26,$A$4:$A$1711^$B$4:$B$1711,$D$4:$D$1711,NA(),0,1)</f>
        <v>1457</v>
      </c>
      <c r="O26" s="5" cm="1">
        <f t="array" ref="O26">_xlfn.XLOOKUP(O$5^$H26,$A$4:$A$1711^$B$4:$B$1711,$D$4:$D$1711,NA(),0,1)</f>
        <v>1954</v>
      </c>
      <c r="P26" s="5" cm="1">
        <f t="array" ref="P26">_xlfn.XLOOKUP(P$5^$H26,$A$4:$A$1711^$B$4:$B$1711,$D$4:$D$1711,NA(),0,1)</f>
        <v>1199</v>
      </c>
      <c r="Q26" s="5" cm="1">
        <f t="array" ref="Q26">_xlfn.XLOOKUP(Q$5^$H26,$A$4:$A$1711^$B$4:$B$1711,$D$4:$D$1711,NA(),0,1)</f>
        <v>1564</v>
      </c>
      <c r="R26" s="5" cm="1">
        <f t="array" ref="R26">_xlfn.XLOOKUP(R$5^$H26,$A$4:$A$1711^$B$4:$B$1711,$D$4:$D$1711,NA(),0,1)</f>
        <v>1778</v>
      </c>
      <c r="S26" s="5" cm="1">
        <f t="array" ref="S26">_xlfn.XLOOKUP(S$5^$H26,$A$4:$A$1711^$B$4:$B$1711,$D$4:$D$1711,NA(),0,1)</f>
        <v>2320</v>
      </c>
      <c r="T26" s="5" cm="1">
        <f t="array" ref="T26">_xlfn.XLOOKUP(T$5^$H26,$A$4:$A$1711^$B$4:$B$1711,$D$4:$D$1711,NA(),0,1)</f>
        <v>2163</v>
      </c>
      <c r="U26" s="5" cm="1">
        <f t="array" ref="U26">_xlfn.XLOOKUP(U$5^$H26,$A$4:$A$1711^$B$4:$B$1711,$D$4:$D$1711,NA(),0,1)</f>
        <v>1806</v>
      </c>
      <c r="V26" s="5" cm="1">
        <f t="array" ref="V26">_xlfn.XLOOKUP(V$5^$H26,$A$4:$A$1711^$B$4:$B$1711,$D$4:$D$1711,NA(),0,1)</f>
        <v>2337</v>
      </c>
      <c r="W26" s="5" cm="1">
        <f t="array" ref="W26">_xlfn.XLOOKUP(W$5^$H26,$A$4:$A$1711^$B$4:$B$1711,$D$4:$D$1711,NA(),0,1)</f>
        <v>2357</v>
      </c>
      <c r="X26" s="5" cm="1">
        <f t="array" ref="X26">_xlfn.XLOOKUP(X$5^$H26,$A$4:$A$1711^$B$4:$B$1711,$D$4:$D$1711,NA(),0,1)</f>
        <v>2107</v>
      </c>
      <c r="Y26" s="5" cm="1">
        <f t="array" ref="Y26">_xlfn.XLOOKUP(Y$5^$H26,$A$4:$A$1711^$B$4:$B$1711,$D$4:$D$1711,NA(),0,1)</f>
        <v>2877</v>
      </c>
      <c r="Z26" s="5" cm="1">
        <f t="array" ref="Z26">_xlfn.XLOOKUP(Z$5^$H26,$A$4:$A$1711^$B$4:$B$1711,$D$4:$D$1711,NA(),0,1)</f>
        <v>2252</v>
      </c>
      <c r="AA26" s="5" cm="1">
        <f t="array" ref="AA26">_xlfn.XLOOKUP(AA$5^$H26,$A$4:$A$1711^$B$4:$B$1711,$D$4:$D$1711,NA(),0,1)</f>
        <v>1499</v>
      </c>
      <c r="AB26" s="5" cm="1">
        <f t="array" ref="AB26">_xlfn.XLOOKUP(AB$5^$H26,$A$4:$A$1711^$B$4:$B$1711,$D$4:$D$1711,NA(),0,1)</f>
        <v>2233</v>
      </c>
      <c r="AC26" s="5" cm="1">
        <f t="array" ref="AC26">_xlfn.XLOOKUP(AC$5^$H26,$A$4:$A$1711^$B$4:$B$1711,$D$4:$D$1711,NA(),0,1)</f>
        <v>2907</v>
      </c>
      <c r="AD26" s="5" cm="1">
        <f t="array" ref="AD26">_xlfn.XLOOKUP(AD$5^$H26,$A$4:$A$1711^$B$4:$B$1711,$D$4:$D$1711,NA(),0,1)</f>
        <v>2631</v>
      </c>
      <c r="AE26" s="5" cm="1">
        <f t="array" ref="AE26">_xlfn.XLOOKUP(AE$5^$H26,$A$4:$A$1711^$B$4:$B$1711,$D$4:$D$1711,NA(),0,1)</f>
        <v>1817</v>
      </c>
      <c r="AF26" s="5" cm="1">
        <f t="array" ref="AF26">_xlfn.XLOOKUP(AF$5^$H26,$A$4:$A$1711^$B$4:$B$1711,$D$4:$D$1711,NA(),0,1)</f>
        <v>1986</v>
      </c>
      <c r="AG26" s="5" cm="1">
        <f t="array" ref="AG26">_xlfn.XLOOKUP(AG$5^$H26,$A$4:$A$1711^$B$4:$B$1711,$D$4:$D$1711,NA(),0,1)</f>
        <v>2714</v>
      </c>
      <c r="AH26" s="5" cm="1">
        <f t="array" ref="AH26">_xlfn.XLOOKUP(AH$5^$H26,$A$4:$A$1711^$B$4:$B$1711,$D$4:$D$1711,NA(),0,1)</f>
        <v>2313</v>
      </c>
      <c r="AI26" s="5" cm="1">
        <f t="array" ref="AI26">_xlfn.XLOOKUP(AI$5^$H26,$A$4:$A$1711^$B$4:$B$1711,$D$4:$D$1711,NA(),0,1)</f>
        <v>1901</v>
      </c>
      <c r="AJ26" s="5" cm="1">
        <f t="array" ref="AJ26">_xlfn.XLOOKUP(AJ$5^$H26,$A$4:$A$1711^$B$4:$B$1711,$D$4:$D$1711,NA(),0,1)</f>
        <v>2550</v>
      </c>
      <c r="AK26" s="5" cm="1">
        <f t="array" ref="AK26">_xlfn.XLOOKUP(AK$5^$H26,$A$4:$A$1711^$B$4:$B$1711,$D$4:$D$1711,NA(),0,1)</f>
        <v>2900</v>
      </c>
      <c r="AL26" s="5" cm="1">
        <f t="array" ref="AL26">_xlfn.XLOOKUP(AL$5^$H26,$A$4:$A$1711^$B$4:$B$1711,$D$4:$D$1711,NA(),0,1)</f>
        <v>2598</v>
      </c>
      <c r="AM26" s="5" cm="1">
        <f t="array" ref="AM26">_xlfn.XLOOKUP(AM$5^$H26,$A$4:$A$1711^$B$4:$B$1711,$D$4:$D$1711,NA(),0,1)</f>
        <v>2578</v>
      </c>
    </row>
    <row r="27" spans="1:39" x14ac:dyDescent="0.25">
      <c r="A27" s="5">
        <f t="shared" si="0"/>
        <v>1994</v>
      </c>
      <c r="B27" s="5">
        <f t="shared" si="1"/>
        <v>25</v>
      </c>
      <c r="C27" s="2">
        <v>34502</v>
      </c>
      <c r="D27" s="1">
        <v>1754</v>
      </c>
      <c r="H27" s="5">
        <f t="shared" si="3"/>
        <v>23</v>
      </c>
      <c r="I27" s="5" cm="1">
        <f t="array" ref="I27">_xlfn.XLOOKUP(I$5^$H27,$A$4:$A$1711^B25:B1732,D25:D1732,NA(),0,1)</f>
        <v>1251</v>
      </c>
      <c r="J27" s="5" cm="1">
        <f t="array" ref="J27">_xlfn.XLOOKUP(J$5^$H27,$A$4:$A$1711^$B$4:$B$1711,$D$4:$D$1711,NA(),0,1)</f>
        <v>1443</v>
      </c>
      <c r="K27" s="5" cm="1">
        <f t="array" ref="K27">_xlfn.XLOOKUP(K$5^$H27,$A$4:$A$1711^$B$4:$B$1711,$D$4:$D$1711,NA(),0,1)</f>
        <v>1832</v>
      </c>
      <c r="L27" s="5" cm="1">
        <f t="array" ref="L27">_xlfn.XLOOKUP(L$5^$H27,$A$4:$A$1711^$B$4:$B$1711,$D$4:$D$1711,NA(),0,1)</f>
        <v>1885</v>
      </c>
      <c r="M27" s="5" cm="1">
        <f t="array" ref="M27">_xlfn.XLOOKUP(M$5^$H27,$A$4:$A$1711^$B$4:$B$1711,$D$4:$D$1711,NA(),0,1)</f>
        <v>1455</v>
      </c>
      <c r="N27" s="5" cm="1">
        <f t="array" ref="N27">_xlfn.XLOOKUP(N$5^$H27,$A$4:$A$1711^$B$4:$B$1711,$D$4:$D$1711,NA(),0,1)</f>
        <v>1560</v>
      </c>
      <c r="O27" s="5" cm="1">
        <f t="array" ref="O27">_xlfn.XLOOKUP(O$5^$H27,$A$4:$A$1711^$B$4:$B$1711,$D$4:$D$1711,NA(),0,1)</f>
        <v>2042</v>
      </c>
      <c r="P27" s="5" cm="1">
        <f t="array" ref="P27">_xlfn.XLOOKUP(P$5^$H27,$A$4:$A$1711^$B$4:$B$1711,$D$4:$D$1711,NA(),0,1)</f>
        <v>1324</v>
      </c>
      <c r="Q27" s="5" cm="1">
        <f t="array" ref="Q27">_xlfn.XLOOKUP(Q$5^$H27,$A$4:$A$1711^$B$4:$B$1711,$D$4:$D$1711,NA(),0,1)</f>
        <v>1666</v>
      </c>
      <c r="R27" s="5" cm="1">
        <f t="array" ref="R27">_xlfn.XLOOKUP(R$5^$H27,$A$4:$A$1711^$B$4:$B$1711,$D$4:$D$1711,NA(),0,1)</f>
        <v>1883</v>
      </c>
      <c r="S27" s="5" cm="1">
        <f t="array" ref="S27">_xlfn.XLOOKUP(S$5^$H27,$A$4:$A$1711^$B$4:$B$1711,$D$4:$D$1711,NA(),0,1)</f>
        <v>2397</v>
      </c>
      <c r="T27" s="5" cm="1">
        <f t="array" ref="T27">_xlfn.XLOOKUP(T$5^$H27,$A$4:$A$1711^$B$4:$B$1711,$D$4:$D$1711,NA(),0,1)</f>
        <v>2255</v>
      </c>
      <c r="U27" s="5" cm="1">
        <f t="array" ref="U27">_xlfn.XLOOKUP(U$5^$H27,$A$4:$A$1711^$B$4:$B$1711,$D$4:$D$1711,NA(),0,1)</f>
        <v>1886</v>
      </c>
      <c r="V27" s="5" cm="1">
        <f t="array" ref="V27">_xlfn.XLOOKUP(V$5^$H27,$A$4:$A$1711^$B$4:$B$1711,$D$4:$D$1711,NA(),0,1)</f>
        <v>2443</v>
      </c>
      <c r="W27" s="5" cm="1">
        <f t="array" ref="W27">_xlfn.XLOOKUP(W$5^$H27,$A$4:$A$1711^$B$4:$B$1711,$D$4:$D$1711,NA(),0,1)</f>
        <v>2456</v>
      </c>
      <c r="X27" s="5" cm="1">
        <f t="array" ref="X27">_xlfn.XLOOKUP(X$5^$H27,$A$4:$A$1711^$B$4:$B$1711,$D$4:$D$1711,NA(),0,1)</f>
        <v>2188</v>
      </c>
      <c r="Y27" s="5" cm="1">
        <f t="array" ref="Y27">_xlfn.XLOOKUP(Y$5^$H27,$A$4:$A$1711^$B$4:$B$1711,$D$4:$D$1711,NA(),0,1)</f>
        <v>2944</v>
      </c>
      <c r="Z27" s="5" cm="1">
        <f t="array" ref="Z27">_xlfn.XLOOKUP(Z$5^$H27,$A$4:$A$1711^$B$4:$B$1711,$D$4:$D$1711,NA(),0,1)</f>
        <v>2347</v>
      </c>
      <c r="AA27" s="5" cm="1">
        <f t="array" ref="AA27">_xlfn.XLOOKUP(AA$5^$H27,$A$4:$A$1711^$B$4:$B$1711,$D$4:$D$1711,NA(),0,1)</f>
        <v>1607</v>
      </c>
      <c r="AB27" s="5" cm="1">
        <f t="array" ref="AB27">_xlfn.XLOOKUP(AB$5^$H27,$A$4:$A$1711^$B$4:$B$1711,$D$4:$D$1711,NA(),0,1)</f>
        <v>2344</v>
      </c>
      <c r="AC27" s="5" cm="1">
        <f t="array" ref="AC27">_xlfn.XLOOKUP(AC$5^$H27,$A$4:$A$1711^$B$4:$B$1711,$D$4:$D$1711,NA(),0,1)</f>
        <v>2972</v>
      </c>
      <c r="AD27" s="5" cm="1">
        <f t="array" ref="AD27">_xlfn.XLOOKUP(AD$5^$H27,$A$4:$A$1711^$B$4:$B$1711,$D$4:$D$1711,NA(),0,1)</f>
        <v>2709</v>
      </c>
      <c r="AE27" s="5" cm="1">
        <f t="array" ref="AE27">_xlfn.XLOOKUP(AE$5^$H27,$A$4:$A$1711^$B$4:$B$1711,$D$4:$D$1711,NA(),0,1)</f>
        <v>1913</v>
      </c>
      <c r="AF27" s="5" cm="1">
        <f t="array" ref="AF27">_xlfn.XLOOKUP(AF$5^$H27,$A$4:$A$1711^$B$4:$B$1711,$D$4:$D$1711,NA(),0,1)</f>
        <v>2088</v>
      </c>
      <c r="AG27" s="5" cm="1">
        <f t="array" ref="AG27">_xlfn.XLOOKUP(AG$5^$H27,$A$4:$A$1711^$B$4:$B$1711,$D$4:$D$1711,NA(),0,1)</f>
        <v>2807</v>
      </c>
      <c r="AH27" s="5" cm="1">
        <f t="array" ref="AH27">_xlfn.XLOOKUP(AH$5^$H27,$A$4:$A$1711^$B$4:$B$1711,$D$4:$D$1711,NA(),0,1)</f>
        <v>2411</v>
      </c>
      <c r="AI27" s="5" cm="1">
        <f t="array" ref="AI27">_xlfn.XLOOKUP(AI$5^$H27,$A$4:$A$1711^$B$4:$B$1711,$D$4:$D$1711,NA(),0,1)</f>
        <v>2003</v>
      </c>
      <c r="AJ27" s="5" cm="1">
        <f t="array" ref="AJ27">_xlfn.XLOOKUP(AJ$5^$H27,$A$4:$A$1711^$B$4:$B$1711,$D$4:$D$1711,NA(),0,1)</f>
        <v>2634</v>
      </c>
      <c r="AK27" s="5" cm="1">
        <f t="array" ref="AK27">_xlfn.XLOOKUP(AK$5^$H27,$A$4:$A$1711^$B$4:$B$1711,$D$4:$D$1711,NA(),0,1)</f>
        <v>2974</v>
      </c>
      <c r="AL27" s="5" cm="1">
        <f t="array" ref="AL27">_xlfn.XLOOKUP(AL$5^$H27,$A$4:$A$1711^$B$4:$B$1711,$D$4:$D$1711,NA(),0,1)</f>
        <v>2707</v>
      </c>
      <c r="AM27" s="5" cm="1">
        <f t="array" ref="AM27">_xlfn.XLOOKUP(AM$5^$H27,$A$4:$A$1711^$B$4:$B$1711,$D$4:$D$1711,NA(),0,1)</f>
        <v>2686</v>
      </c>
    </row>
    <row r="28" spans="1:39" x14ac:dyDescent="0.25">
      <c r="A28" s="5">
        <f t="shared" si="0"/>
        <v>1994</v>
      </c>
      <c r="B28" s="5">
        <f t="shared" si="1"/>
        <v>26</v>
      </c>
      <c r="C28" s="2">
        <v>34509</v>
      </c>
      <c r="D28" s="1">
        <v>1821</v>
      </c>
      <c r="H28" s="5">
        <f t="shared" si="3"/>
        <v>24</v>
      </c>
      <c r="I28" s="5" cm="1">
        <f t="array" ref="I28">_xlfn.XLOOKUP(I$5^$H28,$A$4:$A$1711^B26:B1733,D26:D1733,NA(),0,1)</f>
        <v>1338</v>
      </c>
      <c r="J28" s="5" cm="1">
        <f t="array" ref="J28">_xlfn.XLOOKUP(J$5^$H28,$A$4:$A$1711^$B$4:$B$1711,$D$4:$D$1711,NA(),0,1)</f>
        <v>1535</v>
      </c>
      <c r="K28" s="5" cm="1">
        <f t="array" ref="K28">_xlfn.XLOOKUP(K$5^$H28,$A$4:$A$1711^$B$4:$B$1711,$D$4:$D$1711,NA(),0,1)</f>
        <v>1932</v>
      </c>
      <c r="L28" s="5" cm="1">
        <f t="array" ref="L28">_xlfn.XLOOKUP(L$5^$H28,$A$4:$A$1711^$B$4:$B$1711,$D$4:$D$1711,NA(),0,1)</f>
        <v>1941</v>
      </c>
      <c r="M28" s="5" cm="1">
        <f t="array" ref="M28">_xlfn.XLOOKUP(M$5^$H28,$A$4:$A$1711^$B$4:$B$1711,$D$4:$D$1711,NA(),0,1)</f>
        <v>1532</v>
      </c>
      <c r="N28" s="5" cm="1">
        <f t="array" ref="N28">_xlfn.XLOOKUP(N$5^$H28,$A$4:$A$1711^$B$4:$B$1711,$D$4:$D$1711,NA(),0,1)</f>
        <v>1664</v>
      </c>
      <c r="O28" s="5" cm="1">
        <f t="array" ref="O28">_xlfn.XLOOKUP(O$5^$H28,$A$4:$A$1711^$B$4:$B$1711,$D$4:$D$1711,NA(),0,1)</f>
        <v>2123</v>
      </c>
      <c r="P28" s="5" cm="1">
        <f t="array" ref="P28">_xlfn.XLOOKUP(P$5^$H28,$A$4:$A$1711^$B$4:$B$1711,$D$4:$D$1711,NA(),0,1)</f>
        <v>1438</v>
      </c>
      <c r="Q28" s="5" cm="1">
        <f t="array" ref="Q28">_xlfn.XLOOKUP(Q$5^$H28,$A$4:$A$1711^$B$4:$B$1711,$D$4:$D$1711,NA(),0,1)</f>
        <v>1760</v>
      </c>
      <c r="R28" s="5" cm="1">
        <f t="array" ref="R28">_xlfn.XLOOKUP(R$5^$H28,$A$4:$A$1711^$B$4:$B$1711,$D$4:$D$1711,NA(),0,1)</f>
        <v>1956</v>
      </c>
      <c r="S28" s="5" cm="1">
        <f t="array" ref="S28">_xlfn.XLOOKUP(S$5^$H28,$A$4:$A$1711^$B$4:$B$1711,$D$4:$D$1711,NA(),0,1)</f>
        <v>2476</v>
      </c>
      <c r="T28" s="5" cm="1">
        <f t="array" ref="T28">_xlfn.XLOOKUP(T$5^$H28,$A$4:$A$1711^$B$4:$B$1711,$D$4:$D$1711,NA(),0,1)</f>
        <v>2344</v>
      </c>
      <c r="U28" s="5" cm="1">
        <f t="array" ref="U28">_xlfn.XLOOKUP(U$5^$H28,$A$4:$A$1711^$B$4:$B$1711,$D$4:$D$1711,NA(),0,1)</f>
        <v>1943</v>
      </c>
      <c r="V28" s="5" cm="1">
        <f t="array" ref="V28">_xlfn.XLOOKUP(V$5^$H28,$A$4:$A$1711^$B$4:$B$1711,$D$4:$D$1711,NA(),0,1)</f>
        <v>2557</v>
      </c>
      <c r="W28" s="5" cm="1">
        <f t="array" ref="W28">_xlfn.XLOOKUP(W$5^$H28,$A$4:$A$1711^$B$4:$B$1711,$D$4:$D$1711,NA(),0,1)</f>
        <v>2542</v>
      </c>
      <c r="X28" s="5" cm="1">
        <f t="array" ref="X28">_xlfn.XLOOKUP(X$5^$H28,$A$4:$A$1711^$B$4:$B$1711,$D$4:$D$1711,NA(),0,1)</f>
        <v>2257</v>
      </c>
      <c r="Y28" s="5" cm="1">
        <f t="array" ref="Y28">_xlfn.XLOOKUP(Y$5^$H28,$A$4:$A$1711^$B$4:$B$1711,$D$4:$D$1711,NA(),0,1)</f>
        <v>3006</v>
      </c>
      <c r="Z28" s="5" cm="1">
        <f t="array" ref="Z28">_xlfn.XLOOKUP(Z$5^$H28,$A$4:$A$1711^$B$4:$B$1711,$D$4:$D$1711,NA(),0,1)</f>
        <v>2439</v>
      </c>
      <c r="AA28" s="5" cm="1">
        <f t="array" ref="AA28">_xlfn.XLOOKUP(AA$5^$H28,$A$4:$A$1711^$B$4:$B$1711,$D$4:$D$1711,NA(),0,1)</f>
        <v>1719</v>
      </c>
      <c r="AB28" s="5" cm="1">
        <f t="array" ref="AB28">_xlfn.XLOOKUP(AB$5^$H28,$A$4:$A$1711^$B$4:$B$1711,$D$4:$D$1711,NA(),0,1)</f>
        <v>2433</v>
      </c>
      <c r="AC28" s="5" cm="1">
        <f t="array" ref="AC28">_xlfn.XLOOKUP(AC$5^$H28,$A$4:$A$1711^$B$4:$B$1711,$D$4:$D$1711,NA(),0,1)</f>
        <v>3041</v>
      </c>
      <c r="AD28" s="5" cm="1">
        <f t="array" ref="AD28">_xlfn.XLOOKUP(AD$5^$H28,$A$4:$A$1711^$B$4:$B$1711,$D$4:$D$1711,NA(),0,1)</f>
        <v>2770</v>
      </c>
      <c r="AE28" s="5" cm="1">
        <f t="array" ref="AE28">_xlfn.XLOOKUP(AE$5^$H28,$A$4:$A$1711^$B$4:$B$1711,$D$4:$D$1711,NA(),0,1)</f>
        <v>2008</v>
      </c>
      <c r="AF28" s="5" cm="1">
        <f t="array" ref="AF28">_xlfn.XLOOKUP(AF$5^$H28,$A$4:$A$1711^$B$4:$B$1711,$D$4:$D$1711,NA(),0,1)</f>
        <v>2203</v>
      </c>
      <c r="AG28" s="5" cm="1">
        <f t="array" ref="AG28">_xlfn.XLOOKUP(AG$5^$H28,$A$4:$A$1711^$B$4:$B$1711,$D$4:$D$1711,NA(),0,1)</f>
        <v>2892</v>
      </c>
      <c r="AH28" s="5" cm="1">
        <f t="array" ref="AH28">_xlfn.XLOOKUP(AH$5^$H28,$A$4:$A$1711^$B$4:$B$1711,$D$4:$D$1711,NA(),0,1)</f>
        <v>2427</v>
      </c>
      <c r="AI28" s="5" cm="1">
        <f t="array" ref="AI28">_xlfn.XLOOKUP(AI$5^$H28,$A$4:$A$1711^$B$4:$B$1711,$D$4:$D$1711,NA(),0,1)</f>
        <v>2095</v>
      </c>
      <c r="AJ28" s="5" cm="1">
        <f t="array" ref="AJ28">_xlfn.XLOOKUP(AJ$5^$H28,$A$4:$A$1711^$B$4:$B$1711,$D$4:$D$1711,NA(),0,1)</f>
        <v>2729</v>
      </c>
      <c r="AK28" s="5" cm="1">
        <f t="array" ref="AK28">_xlfn.XLOOKUP(AK$5^$H28,$A$4:$A$1711^$B$4:$B$1711,$D$4:$D$1711,NA(),0,1)</f>
        <v>3045</v>
      </c>
      <c r="AL28" s="5" cm="1">
        <f t="array" ref="AL28">_xlfn.XLOOKUP(AL$5^$H28,$A$4:$A$1711^$B$4:$B$1711,$D$4:$D$1711,NA(),0,1)</f>
        <v>2802</v>
      </c>
      <c r="AM28" s="5" cm="1">
        <f t="array" ref="AM28">_xlfn.XLOOKUP(AM$5^$H28,$A$4:$A$1711^$B$4:$B$1711,$D$4:$D$1711,NA(),0,1)</f>
        <v>2759</v>
      </c>
    </row>
    <row r="29" spans="1:39" x14ac:dyDescent="0.25">
      <c r="A29" s="5">
        <f t="shared" si="0"/>
        <v>1994</v>
      </c>
      <c r="B29" s="5">
        <f t="shared" si="1"/>
        <v>27</v>
      </c>
      <c r="C29" s="2">
        <v>34516</v>
      </c>
      <c r="D29" s="1">
        <v>1911</v>
      </c>
      <c r="H29" s="5">
        <f t="shared" si="3"/>
        <v>25</v>
      </c>
      <c r="I29" s="5" cm="1">
        <f t="array" ref="I29">_xlfn.XLOOKUP(I$5^$H29,$A$4:$A$1711^B27:B1734,D27:D1734,NA(),0,1)</f>
        <v>1423</v>
      </c>
      <c r="J29" s="5" cm="1">
        <f t="array" ref="J29">_xlfn.XLOOKUP(J$5^$H29,$A$4:$A$1711^$B$4:$B$1711,$D$4:$D$1711,NA(),0,1)</f>
        <v>1627</v>
      </c>
      <c r="K29" s="5" cm="1">
        <f t="array" ref="K29">_xlfn.XLOOKUP(K$5^$H29,$A$4:$A$1711^$B$4:$B$1711,$D$4:$D$1711,NA(),0,1)</f>
        <v>2010</v>
      </c>
      <c r="L29" s="5" cm="1">
        <f t="array" ref="L29">_xlfn.XLOOKUP(L$5^$H29,$A$4:$A$1711^$B$4:$B$1711,$D$4:$D$1711,NA(),0,1)</f>
        <v>2020</v>
      </c>
      <c r="M29" s="5" cm="1">
        <f t="array" ref="M29">_xlfn.XLOOKUP(M$5^$H29,$A$4:$A$1711^$B$4:$B$1711,$D$4:$D$1711,NA(),0,1)</f>
        <v>1591</v>
      </c>
      <c r="N29" s="5" cm="1">
        <f t="array" ref="N29">_xlfn.XLOOKUP(N$5^$H29,$A$4:$A$1711^$B$4:$B$1711,$D$4:$D$1711,NA(),0,1)</f>
        <v>1768</v>
      </c>
      <c r="O29" s="5" cm="1">
        <f t="array" ref="O29">_xlfn.XLOOKUP(O$5^$H29,$A$4:$A$1711^$B$4:$B$1711,$D$4:$D$1711,NA(),0,1)</f>
        <v>2218</v>
      </c>
      <c r="P29" s="5" cm="1">
        <f t="array" ref="P29">_xlfn.XLOOKUP(P$5^$H29,$A$4:$A$1711^$B$4:$B$1711,$D$4:$D$1711,NA(),0,1)</f>
        <v>1565</v>
      </c>
      <c r="Q29" s="5" cm="1">
        <f t="array" ref="Q29">_xlfn.XLOOKUP(Q$5^$H29,$A$4:$A$1711^$B$4:$B$1711,$D$4:$D$1711,NA(),0,1)</f>
        <v>1845</v>
      </c>
      <c r="R29" s="5" cm="1">
        <f t="array" ref="R29">_xlfn.XLOOKUP(R$5^$H29,$A$4:$A$1711^$B$4:$B$1711,$D$4:$D$1711,NA(),0,1)</f>
        <v>2036</v>
      </c>
      <c r="S29" s="5" cm="1">
        <f t="array" ref="S29">_xlfn.XLOOKUP(S$5^$H29,$A$4:$A$1711^$B$4:$B$1711,$D$4:$D$1711,NA(),0,1)</f>
        <v>2542</v>
      </c>
      <c r="T29" s="5" cm="1">
        <f t="array" ref="T29">_xlfn.XLOOKUP(T$5^$H29,$A$4:$A$1711^$B$4:$B$1711,$D$4:$D$1711,NA(),0,1)</f>
        <v>2443</v>
      </c>
      <c r="U29" s="5" cm="1">
        <f t="array" ref="U29">_xlfn.XLOOKUP(U$5^$H29,$A$4:$A$1711^$B$4:$B$1711,$D$4:$D$1711,NA(),0,1)</f>
        <v>2033</v>
      </c>
      <c r="V29" s="5" cm="1">
        <f t="array" ref="V29">_xlfn.XLOOKUP(V$5^$H29,$A$4:$A$1711^$B$4:$B$1711,$D$4:$D$1711,NA(),0,1)</f>
        <v>2651</v>
      </c>
      <c r="W29" s="5" cm="1">
        <f t="array" ref="W29">_xlfn.XLOOKUP(W$5^$H29,$A$4:$A$1711^$B$4:$B$1711,$D$4:$D$1711,NA(),0,1)</f>
        <v>2625</v>
      </c>
      <c r="X29" s="5" cm="1">
        <f t="array" ref="X29">_xlfn.XLOOKUP(X$5^$H29,$A$4:$A$1711^$B$4:$B$1711,$D$4:$D$1711,NA(),0,1)</f>
        <v>2354</v>
      </c>
      <c r="Y29" s="5" cm="1">
        <f t="array" ref="Y29">_xlfn.XLOOKUP(Y$5^$H29,$A$4:$A$1711^$B$4:$B$1711,$D$4:$D$1711,NA(),0,1)</f>
        <v>3063</v>
      </c>
      <c r="Z29" s="5" cm="1">
        <f t="array" ref="Z29">_xlfn.XLOOKUP(Z$5^$H29,$A$4:$A$1711^$B$4:$B$1711,$D$4:$D$1711,NA(),0,1)</f>
        <v>2533</v>
      </c>
      <c r="AA29" s="5" cm="1">
        <f t="array" ref="AA29">_xlfn.XLOOKUP(AA$5^$H29,$A$4:$A$1711^$B$4:$B$1711,$D$4:$D$1711,NA(),0,1)</f>
        <v>1829</v>
      </c>
      <c r="AB29" s="5" cm="1">
        <f t="array" ref="AB29">_xlfn.XLOOKUP(AB$5^$H29,$A$4:$A$1711^$B$4:$B$1711,$D$4:$D$1711,NA(),0,1)</f>
        <v>2506</v>
      </c>
      <c r="AC29" s="5" cm="1">
        <f t="array" ref="AC29">_xlfn.XLOOKUP(AC$5^$H29,$A$4:$A$1711^$B$4:$B$1711,$D$4:$D$1711,NA(),0,1)</f>
        <v>3103</v>
      </c>
      <c r="AD29" s="5" cm="1">
        <f t="array" ref="AD29">_xlfn.XLOOKUP(AD$5^$H29,$A$4:$A$1711^$B$4:$B$1711,$D$4:$D$1711,NA(),0,1)</f>
        <v>2816</v>
      </c>
      <c r="AE29" s="5" cm="1">
        <f t="array" ref="AE29">_xlfn.XLOOKUP(AE$5^$H29,$A$4:$A$1711^$B$4:$B$1711,$D$4:$D$1711,NA(),0,1)</f>
        <v>2074</v>
      </c>
      <c r="AF29" s="5" cm="1">
        <f t="array" ref="AF29">_xlfn.XLOOKUP(AF$5^$H29,$A$4:$A$1711^$B$4:$B$1711,$D$4:$D$1711,NA(),0,1)</f>
        <v>2301</v>
      </c>
      <c r="AG29" s="5" cm="1">
        <f t="array" ref="AG29">_xlfn.XLOOKUP(AG$5^$H29,$A$4:$A$1711^$B$4:$B$1711,$D$4:$D$1711,NA(),0,1)</f>
        <v>3012</v>
      </c>
      <c r="AH29" s="5" cm="1">
        <f t="array" ref="AH29">_xlfn.XLOOKUP(AH$5^$H29,$A$4:$A$1711^$B$4:$B$1711,$D$4:$D$1711,NA(),0,1)</f>
        <v>2482</v>
      </c>
      <c r="AI29" s="5" cm="1">
        <f t="array" ref="AI29">_xlfn.XLOOKUP(AI$5^$H29,$A$4:$A$1711^$B$4:$B$1711,$D$4:$D$1711,NA(),0,1)</f>
        <v>2169</v>
      </c>
      <c r="AJ29" s="5" cm="1">
        <f t="array" ref="AJ29">_xlfn.XLOOKUP(AJ$5^$H29,$A$4:$A$1711^$B$4:$B$1711,$D$4:$D$1711,NA(),0,1)</f>
        <v>2805</v>
      </c>
      <c r="AK29" s="5" cm="1">
        <f t="array" ref="AK29">_xlfn.XLOOKUP(AK$5^$H29,$A$4:$A$1711^$B$4:$B$1711,$D$4:$D$1711,NA(),0,1)</f>
        <v>3102</v>
      </c>
      <c r="AL29" s="5" cm="1">
        <f t="array" ref="AL29">_xlfn.XLOOKUP(AL$5^$H29,$A$4:$A$1711^$B$4:$B$1711,$D$4:$D$1711,NA(),0,1)</f>
        <v>2898</v>
      </c>
      <c r="AM29" s="5" cm="1">
        <f t="array" ref="AM29">_xlfn.XLOOKUP(AM$5^$H29,$A$4:$A$1711^$B$4:$B$1711,$D$4:$D$1711,NA(),0,1)</f>
        <v>2835</v>
      </c>
    </row>
    <row r="30" spans="1:39" x14ac:dyDescent="0.25">
      <c r="A30" s="5">
        <f t="shared" si="0"/>
        <v>1994</v>
      </c>
      <c r="B30" s="5">
        <f t="shared" si="1"/>
        <v>28</v>
      </c>
      <c r="C30" s="2">
        <v>34523</v>
      </c>
      <c r="D30" s="1">
        <v>1999</v>
      </c>
      <c r="H30" s="5">
        <f t="shared" si="3"/>
        <v>26</v>
      </c>
      <c r="I30" s="5" cm="1">
        <f t="array" ref="I30">_xlfn.XLOOKUP(I$5^$H30,$A$4:$A$1711^B28:B1735,D28:D1735,NA(),0,1)</f>
        <v>1507</v>
      </c>
      <c r="J30" s="5" cm="1">
        <f t="array" ref="J30">_xlfn.XLOOKUP(J$5^$H30,$A$4:$A$1711^$B$4:$B$1711,$D$4:$D$1711,NA(),0,1)</f>
        <v>1694</v>
      </c>
      <c r="K30" s="5" cm="1">
        <f t="array" ref="K30">_xlfn.XLOOKUP(K$5^$H30,$A$4:$A$1711^$B$4:$B$1711,$D$4:$D$1711,NA(),0,1)</f>
        <v>2075</v>
      </c>
      <c r="L30" s="5" cm="1">
        <f t="array" ref="L30">_xlfn.XLOOKUP(L$5^$H30,$A$4:$A$1711^$B$4:$B$1711,$D$4:$D$1711,NA(),0,1)</f>
        <v>2106</v>
      </c>
      <c r="M30" s="5" cm="1">
        <f t="array" ref="M30">_xlfn.XLOOKUP(M$5^$H30,$A$4:$A$1711^$B$4:$B$1711,$D$4:$D$1711,NA(),0,1)</f>
        <v>1657</v>
      </c>
      <c r="N30" s="5" cm="1">
        <f t="array" ref="N30">_xlfn.XLOOKUP(N$5^$H30,$A$4:$A$1711^$B$4:$B$1711,$D$4:$D$1711,NA(),0,1)</f>
        <v>1867</v>
      </c>
      <c r="O30" s="5" cm="1">
        <f t="array" ref="O30">_xlfn.XLOOKUP(O$5^$H30,$A$4:$A$1711^$B$4:$B$1711,$D$4:$D$1711,NA(),0,1)</f>
        <v>2286</v>
      </c>
      <c r="P30" s="5" cm="1">
        <f t="array" ref="P30">_xlfn.XLOOKUP(P$5^$H30,$A$4:$A$1711^$B$4:$B$1711,$D$4:$D$1711,NA(),0,1)</f>
        <v>1662</v>
      </c>
      <c r="Q30" s="5" cm="1">
        <f t="array" ref="Q30">_xlfn.XLOOKUP(Q$5^$H30,$A$4:$A$1711^$B$4:$B$1711,$D$4:$D$1711,NA(),0,1)</f>
        <v>1938</v>
      </c>
      <c r="R30" s="5" cm="1">
        <f t="array" ref="R30">_xlfn.XLOOKUP(R$5^$H30,$A$4:$A$1711^$B$4:$B$1711,$D$4:$D$1711,NA(),0,1)</f>
        <v>2133</v>
      </c>
      <c r="S30" s="5" cm="1">
        <f t="array" ref="S30">_xlfn.XLOOKUP(S$5^$H30,$A$4:$A$1711^$B$4:$B$1711,$D$4:$D$1711,NA(),0,1)</f>
        <v>2615</v>
      </c>
      <c r="T30" s="5" cm="1">
        <f t="array" ref="T30">_xlfn.XLOOKUP(T$5^$H30,$A$4:$A$1711^$B$4:$B$1711,$D$4:$D$1711,NA(),0,1)</f>
        <v>2521</v>
      </c>
      <c r="U30" s="5" cm="1">
        <f t="array" ref="U30">_xlfn.XLOOKUP(U$5^$H30,$A$4:$A$1711^$B$4:$B$1711,$D$4:$D$1711,NA(),0,1)</f>
        <v>2118</v>
      </c>
      <c r="V30" s="5" cm="1">
        <f t="array" ref="V30">_xlfn.XLOOKUP(V$5^$H30,$A$4:$A$1711^$B$4:$B$1711,$D$4:$D$1711,NA(),0,1)</f>
        <v>2721</v>
      </c>
      <c r="W30" s="5" cm="1">
        <f t="array" ref="W30">_xlfn.XLOOKUP(W$5^$H30,$A$4:$A$1711^$B$4:$B$1711,$D$4:$D$1711,NA(),0,1)</f>
        <v>2684</v>
      </c>
      <c r="X30" s="5" cm="1">
        <f t="array" ref="X30">_xlfn.XLOOKUP(X$5^$H30,$A$4:$A$1711^$B$4:$B$1711,$D$4:$D$1711,NA(),0,1)</f>
        <v>2432</v>
      </c>
      <c r="Y30" s="5" cm="1">
        <f t="array" ref="Y30">_xlfn.XLOOKUP(Y$5^$H30,$A$4:$A$1711^$B$4:$B$1711,$D$4:$D$1711,NA(),0,1)</f>
        <v>3102</v>
      </c>
      <c r="Z30" s="5" cm="1">
        <f t="array" ref="Z30">_xlfn.XLOOKUP(Z$5^$H30,$A$4:$A$1711^$B$4:$B$1711,$D$4:$D$1711,NA(),0,1)</f>
        <v>2606</v>
      </c>
      <c r="AA30" s="5" cm="1">
        <f t="array" ref="AA30">_xlfn.XLOOKUP(AA$5^$H30,$A$4:$A$1711^$B$4:$B$1711,$D$4:$D$1711,NA(),0,1)</f>
        <v>1928</v>
      </c>
      <c r="AB30" s="5" cm="1">
        <f t="array" ref="AB30">_xlfn.XLOOKUP(AB$5^$H30,$A$4:$A$1711^$B$4:$B$1711,$D$4:$D$1711,NA(),0,1)</f>
        <v>2579</v>
      </c>
      <c r="AC30" s="5" cm="1">
        <f t="array" ref="AC30">_xlfn.XLOOKUP(AC$5^$H30,$A$4:$A$1711^$B$4:$B$1711,$D$4:$D$1711,NA(),0,1)</f>
        <v>3140</v>
      </c>
      <c r="AD30" s="5" cm="1">
        <f t="array" ref="AD30">_xlfn.XLOOKUP(AD$5^$H30,$A$4:$A$1711^$B$4:$B$1711,$D$4:$D$1711,NA(),0,1)</f>
        <v>2878</v>
      </c>
      <c r="AE30" s="5" cm="1">
        <f t="array" ref="AE30">_xlfn.XLOOKUP(AE$5^$H30,$A$4:$A$1711^$B$4:$B$1711,$D$4:$D$1711,NA(),0,1)</f>
        <v>2152</v>
      </c>
      <c r="AF30" s="5" cm="1">
        <f t="array" ref="AF30">_xlfn.XLOOKUP(AF$5^$H30,$A$4:$A$1711^$B$4:$B$1711,$D$4:$D$1711,NA(),0,1)</f>
        <v>2390</v>
      </c>
      <c r="AG30" s="5" cm="1">
        <f t="array" ref="AG30">_xlfn.XLOOKUP(AG$5^$H30,$A$4:$A$1711^$B$4:$B$1711,$D$4:$D$1711,NA(),0,1)</f>
        <v>3077</v>
      </c>
      <c r="AH30" s="5" cm="1">
        <f t="array" ref="AH30">_xlfn.XLOOKUP(AH$5^$H30,$A$4:$A$1711^$B$4:$B$1711,$D$4:$D$1711,NA(),0,1)</f>
        <v>2558</v>
      </c>
      <c r="AI30" s="5" cm="1">
        <f t="array" ref="AI30">_xlfn.XLOOKUP(AI$5^$H30,$A$4:$A$1711^$B$4:$B$1711,$D$4:$D$1711,NA(),0,1)</f>
        <v>2251</v>
      </c>
      <c r="AJ30" s="5" cm="1">
        <f t="array" ref="AJ30">_xlfn.XLOOKUP(AJ$5^$H30,$A$4:$A$1711^$B$4:$B$1711,$D$4:$D$1711,NA(),0,1)</f>
        <v>2881</v>
      </c>
      <c r="AK30" s="5" cm="1">
        <f t="array" ref="AK30">_xlfn.XLOOKUP(AK$5^$H30,$A$4:$A$1711^$B$4:$B$1711,$D$4:$D$1711,NA(),0,1)</f>
        <v>3134</v>
      </c>
      <c r="AL30" s="5" cm="1">
        <f t="array" ref="AL30">_xlfn.XLOOKUP(AL$5^$H30,$A$4:$A$1711^$B$4:$B$1711,$D$4:$D$1711,NA(),0,1)</f>
        <v>2953</v>
      </c>
      <c r="AM30" s="5" cm="1">
        <f t="array" ref="AM30">_xlfn.XLOOKUP(AM$5^$H30,$A$4:$A$1711^$B$4:$B$1711,$D$4:$D$1711,NA(),0,1)</f>
        <v>2922</v>
      </c>
    </row>
    <row r="31" spans="1:39" x14ac:dyDescent="0.25">
      <c r="A31" s="5">
        <f t="shared" si="0"/>
        <v>1994</v>
      </c>
      <c r="B31" s="5">
        <f t="shared" si="1"/>
        <v>29</v>
      </c>
      <c r="C31" s="2">
        <v>34530</v>
      </c>
      <c r="D31" s="1">
        <v>2096</v>
      </c>
      <c r="H31" s="5">
        <f t="shared" si="3"/>
        <v>27</v>
      </c>
      <c r="I31" s="5" cm="1">
        <f t="array" ref="I31">_xlfn.XLOOKUP(I$5^$H31,$A$4:$A$1711^B29:B1736,D29:D1736,NA(),0,1)</f>
        <v>1593</v>
      </c>
      <c r="J31" s="5" cm="1">
        <f t="array" ref="J31">_xlfn.XLOOKUP(J$5^$H31,$A$4:$A$1711^$B$4:$B$1711,$D$4:$D$1711,NA(),0,1)</f>
        <v>1785</v>
      </c>
      <c r="K31" s="5" cm="1">
        <f t="array" ref="K31">_xlfn.XLOOKUP(K$5^$H31,$A$4:$A$1711^$B$4:$B$1711,$D$4:$D$1711,NA(),0,1)</f>
        <v>2143</v>
      </c>
      <c r="L31" s="5" cm="1">
        <f t="array" ref="L31">_xlfn.XLOOKUP(L$5^$H31,$A$4:$A$1711^$B$4:$B$1711,$D$4:$D$1711,NA(),0,1)</f>
        <v>2169</v>
      </c>
      <c r="M31" s="5" cm="1">
        <f t="array" ref="M31">_xlfn.XLOOKUP(M$5^$H31,$A$4:$A$1711^$B$4:$B$1711,$D$4:$D$1711,NA(),0,1)</f>
        <v>1717</v>
      </c>
      <c r="N31" s="5" cm="1">
        <f t="array" ref="N31">_xlfn.XLOOKUP(N$5^$H31,$A$4:$A$1711^$B$4:$B$1711,$D$4:$D$1711,NA(),0,1)</f>
        <v>1974</v>
      </c>
      <c r="O31" s="5" cm="1">
        <f t="array" ref="O31">_xlfn.XLOOKUP(O$5^$H31,$A$4:$A$1711^$B$4:$B$1711,$D$4:$D$1711,NA(),0,1)</f>
        <v>2353</v>
      </c>
      <c r="P31" s="5" cm="1">
        <f t="array" ref="P31">_xlfn.XLOOKUP(P$5^$H31,$A$4:$A$1711^$B$4:$B$1711,$D$4:$D$1711,NA(),0,1)</f>
        <v>1809</v>
      </c>
      <c r="Q31" s="5" cm="1">
        <f t="array" ref="Q31">_xlfn.XLOOKUP(Q$5^$H31,$A$4:$A$1711^$B$4:$B$1711,$D$4:$D$1711,NA(),0,1)</f>
        <v>2047</v>
      </c>
      <c r="R31" s="5" cm="1">
        <f t="array" ref="R31">_xlfn.XLOOKUP(R$5^$H31,$A$4:$A$1711^$B$4:$B$1711,$D$4:$D$1711,NA(),0,1)</f>
        <v>2199</v>
      </c>
      <c r="S31" s="5" cm="1">
        <f t="array" ref="S31">_xlfn.XLOOKUP(S$5^$H31,$A$4:$A$1711^$B$4:$B$1711,$D$4:$D$1711,NA(),0,1)</f>
        <v>2704</v>
      </c>
      <c r="T31" s="5" cm="1">
        <f t="array" ref="T31">_xlfn.XLOOKUP(T$5^$H31,$A$4:$A$1711^$B$4:$B$1711,$D$4:$D$1711,NA(),0,1)</f>
        <v>2627</v>
      </c>
      <c r="U31" s="5" cm="1">
        <f t="array" ref="U31">_xlfn.XLOOKUP(U$5^$H31,$A$4:$A$1711^$B$4:$B$1711,$D$4:$D$1711,NA(),0,1)</f>
        <v>2208</v>
      </c>
      <c r="V31" s="5" cm="1">
        <f t="array" ref="V31">_xlfn.XLOOKUP(V$5^$H31,$A$4:$A$1711^$B$4:$B$1711,$D$4:$D$1711,NA(),0,1)</f>
        <v>2796</v>
      </c>
      <c r="W31" s="5" cm="1">
        <f t="array" ref="W31">_xlfn.XLOOKUP(W$5^$H31,$A$4:$A$1711^$B$4:$B$1711,$D$4:$D$1711,NA(),0,1)</f>
        <v>2761</v>
      </c>
      <c r="X31" s="5" cm="1">
        <f t="array" ref="X31">_xlfn.XLOOKUP(X$5^$H31,$A$4:$A$1711^$B$4:$B$1711,$D$4:$D$1711,NA(),0,1)</f>
        <v>2526</v>
      </c>
      <c r="Y31" s="5" cm="1">
        <f t="array" ref="Y31">_xlfn.XLOOKUP(Y$5^$H31,$A$4:$A$1711^$B$4:$B$1711,$D$4:$D$1711,NA(),0,1)</f>
        <v>3135</v>
      </c>
      <c r="Z31" s="5" cm="1">
        <f t="array" ref="Z31">_xlfn.XLOOKUP(Z$5^$H31,$A$4:$A$1711^$B$4:$B$1711,$D$4:$D$1711,NA(),0,1)</f>
        <v>2687</v>
      </c>
      <c r="AA31" s="5" cm="1">
        <f t="array" ref="AA31">_xlfn.XLOOKUP(AA$5^$H31,$A$4:$A$1711^$B$4:$B$1711,$D$4:$D$1711,NA(),0,1)</f>
        <v>2023</v>
      </c>
      <c r="AB31" s="5" cm="1">
        <f t="array" ref="AB31">_xlfn.XLOOKUP(AB$5^$H31,$A$4:$A$1711^$B$4:$B$1711,$D$4:$D$1711,NA(),0,1)</f>
        <v>2666</v>
      </c>
      <c r="AC31" s="5" cm="1">
        <f t="array" ref="AC31">_xlfn.XLOOKUP(AC$5^$H31,$A$4:$A$1711^$B$4:$B$1711,$D$4:$D$1711,NA(),0,1)</f>
        <v>3179</v>
      </c>
      <c r="AD31" s="5" cm="1">
        <f t="array" ref="AD31">_xlfn.XLOOKUP(AD$5^$H31,$A$4:$A$1711^$B$4:$B$1711,$D$4:$D$1711,NA(),0,1)</f>
        <v>2936</v>
      </c>
      <c r="AE31" s="5" cm="1">
        <f t="array" ref="AE31">_xlfn.XLOOKUP(AE$5^$H31,$A$4:$A$1711^$B$4:$B$1711,$D$4:$D$1711,NA(),0,1)</f>
        <v>2203</v>
      </c>
      <c r="AF31" s="5" cm="1">
        <f t="array" ref="AF31">_xlfn.XLOOKUP(AF$5^$H31,$A$4:$A$1711^$B$4:$B$1711,$D$4:$D$1711,NA(),0,1)</f>
        <v>2471</v>
      </c>
      <c r="AG31" s="5" cm="1">
        <f t="array" ref="AG31">_xlfn.XLOOKUP(AG$5^$H31,$A$4:$A$1711^$B$4:$B$1711,$D$4:$D$1711,NA(),0,1)</f>
        <v>3133</v>
      </c>
      <c r="AH31" s="5" cm="1">
        <f t="array" ref="AH31">_xlfn.XLOOKUP(AH$5^$H31,$A$4:$A$1711^$B$4:$B$1711,$D$4:$D$1711,NA(),0,1)</f>
        <v>2574</v>
      </c>
      <c r="AI31" s="5" cm="1">
        <f t="array" ref="AI31">_xlfn.XLOOKUP(AI$5^$H31,$A$4:$A$1711^$B$4:$B$1711,$D$4:$D$1711,NA(),0,1)</f>
        <v>2311</v>
      </c>
      <c r="AJ31" s="5" cm="1">
        <f t="array" ref="AJ31">_xlfn.XLOOKUP(AJ$5^$H31,$A$4:$A$1711^$B$4:$B$1711,$D$4:$D$1711,NA(),0,1)</f>
        <v>2930</v>
      </c>
      <c r="AK31" s="5" cm="1">
        <f t="array" ref="AK31">_xlfn.XLOOKUP(AK$5^$H31,$A$4:$A$1711^$B$4:$B$1711,$D$4:$D$1711,NA(),0,1)</f>
        <v>3199</v>
      </c>
      <c r="AL31" s="5" cm="1">
        <f t="array" ref="AL31">_xlfn.XLOOKUP(AL$5^$H31,$A$4:$A$1711^$B$4:$B$1711,$D$4:$D$1711,NA(),0,1)</f>
        <v>3006</v>
      </c>
      <c r="AM31" s="5" cm="1">
        <f t="array" ref="AM31">_xlfn.XLOOKUP(AM$5^$H31,$A$4:$A$1711^$B$4:$B$1711,$D$4:$D$1711,NA(),0,1)</f>
        <v>2983</v>
      </c>
    </row>
    <row r="32" spans="1:39" x14ac:dyDescent="0.25">
      <c r="A32" s="5">
        <f t="shared" si="0"/>
        <v>1994</v>
      </c>
      <c r="B32" s="5">
        <f t="shared" si="1"/>
        <v>30</v>
      </c>
      <c r="C32" s="2">
        <v>34537</v>
      </c>
      <c r="D32" s="1">
        <v>2179</v>
      </c>
      <c r="H32" s="5">
        <f t="shared" si="3"/>
        <v>28</v>
      </c>
      <c r="I32" s="5" cm="1">
        <f t="array" ref="I32">_xlfn.XLOOKUP(I$5^$H32,$A$4:$A$1711^B30:B1737,D30:D1737,NA(),0,1)</f>
        <v>1684</v>
      </c>
      <c r="J32" s="5" cm="1">
        <f t="array" ref="J32">_xlfn.XLOOKUP(J$5^$H32,$A$4:$A$1711^$B$4:$B$1711,$D$4:$D$1711,NA(),0,1)</f>
        <v>1869</v>
      </c>
      <c r="K32" s="5" cm="1">
        <f t="array" ref="K32">_xlfn.XLOOKUP(K$5^$H32,$A$4:$A$1711^$B$4:$B$1711,$D$4:$D$1711,NA(),0,1)</f>
        <v>2231</v>
      </c>
      <c r="L32" s="5" cm="1">
        <f t="array" ref="L32">_xlfn.XLOOKUP(L$5^$H32,$A$4:$A$1711^$B$4:$B$1711,$D$4:$D$1711,NA(),0,1)</f>
        <v>2228</v>
      </c>
      <c r="M32" s="5" cm="1">
        <f t="array" ref="M32">_xlfn.XLOOKUP(M$5^$H32,$A$4:$A$1711^$B$4:$B$1711,$D$4:$D$1711,NA(),0,1)</f>
        <v>1812</v>
      </c>
      <c r="N32" s="5" cm="1">
        <f t="array" ref="N32">_xlfn.XLOOKUP(N$5^$H32,$A$4:$A$1711^$B$4:$B$1711,$D$4:$D$1711,NA(),0,1)</f>
        <v>2075</v>
      </c>
      <c r="O32" s="5" cm="1">
        <f t="array" ref="O32">_xlfn.XLOOKUP(O$5^$H32,$A$4:$A$1711^$B$4:$B$1711,$D$4:$D$1711,NA(),0,1)</f>
        <v>2422</v>
      </c>
      <c r="P32" s="5" cm="1">
        <f t="array" ref="P32">_xlfn.XLOOKUP(P$5^$H32,$A$4:$A$1711^$B$4:$B$1711,$D$4:$D$1711,NA(),0,1)</f>
        <v>1904</v>
      </c>
      <c r="Q32" s="5" cm="1">
        <f t="array" ref="Q32">_xlfn.XLOOKUP(Q$5^$H32,$A$4:$A$1711^$B$4:$B$1711,$D$4:$D$1711,NA(),0,1)</f>
        <v>2155</v>
      </c>
      <c r="R32" s="5" cm="1">
        <f t="array" ref="R32">_xlfn.XLOOKUP(R$5^$H32,$A$4:$A$1711^$B$4:$B$1711,$D$4:$D$1711,NA(),0,1)</f>
        <v>2291</v>
      </c>
      <c r="S32" s="5" cm="1">
        <f t="array" ref="S32">_xlfn.XLOOKUP(S$5^$H32,$A$4:$A$1711^$B$4:$B$1711,$D$4:$D$1711,NA(),0,1)</f>
        <v>2763</v>
      </c>
      <c r="T32" s="5" cm="1">
        <f t="array" ref="T32">_xlfn.XLOOKUP(T$5^$H32,$A$4:$A$1711^$B$4:$B$1711,$D$4:$D$1711,NA(),0,1)</f>
        <v>2692</v>
      </c>
      <c r="U32" s="5" cm="1">
        <f t="array" ref="U32">_xlfn.XLOOKUP(U$5^$H32,$A$4:$A$1711^$B$4:$B$1711,$D$4:$D$1711,NA(),0,1)</f>
        <v>2312</v>
      </c>
      <c r="V32" s="5" cm="1">
        <f t="array" ref="V32">_xlfn.XLOOKUP(V$5^$H32,$A$4:$A$1711^$B$4:$B$1711,$D$4:$D$1711,NA(),0,1)</f>
        <v>2886</v>
      </c>
      <c r="W32" s="5" cm="1">
        <f t="array" ref="W32">_xlfn.XLOOKUP(W$5^$H32,$A$4:$A$1711^$B$4:$B$1711,$D$4:$D$1711,NA(),0,1)</f>
        <v>2841</v>
      </c>
      <c r="X32" s="5" cm="1">
        <f t="array" ref="X32">_xlfn.XLOOKUP(X$5^$H32,$A$4:$A$1711^$B$4:$B$1711,$D$4:$D$1711,NA(),0,1)</f>
        <v>2611</v>
      </c>
      <c r="Y32" s="5" cm="1">
        <f t="array" ref="Y32">_xlfn.XLOOKUP(Y$5^$H32,$A$4:$A$1711^$B$4:$B$1711,$D$4:$D$1711,NA(),0,1)</f>
        <v>3163</v>
      </c>
      <c r="Z32" s="5" cm="1">
        <f t="array" ref="Z32">_xlfn.XLOOKUP(Z$5^$H32,$A$4:$A$1711^$B$4:$B$1711,$D$4:$D$1711,NA(),0,1)</f>
        <v>2745</v>
      </c>
      <c r="AA32" s="5" cm="1">
        <f t="array" ref="AA32">_xlfn.XLOOKUP(AA$5^$H32,$A$4:$A$1711^$B$4:$B$1711,$D$4:$D$1711,NA(),0,1)</f>
        <v>2128</v>
      </c>
      <c r="AB32" s="5" cm="1">
        <f t="array" ref="AB32">_xlfn.XLOOKUP(AB$5^$H32,$A$4:$A$1711^$B$4:$B$1711,$D$4:$D$1711,NA(),0,1)</f>
        <v>2764</v>
      </c>
      <c r="AC32" s="5" cm="1">
        <f t="array" ref="AC32">_xlfn.XLOOKUP(AC$5^$H32,$A$4:$A$1711^$B$4:$B$1711,$D$4:$D$1711,NA(),0,1)</f>
        <v>3243</v>
      </c>
      <c r="AD32" s="5" cm="1">
        <f t="array" ref="AD32">_xlfn.XLOOKUP(AD$5^$H32,$A$4:$A$1711^$B$4:$B$1711,$D$4:$D$1711,NA(),0,1)</f>
        <v>2963</v>
      </c>
      <c r="AE32" s="5" cm="1">
        <f t="array" ref="AE32">_xlfn.XLOOKUP(AE$5^$H32,$A$4:$A$1711^$B$4:$B$1711,$D$4:$D$1711,NA(),0,1)</f>
        <v>2248</v>
      </c>
      <c r="AF32" s="5" cm="1">
        <f t="array" ref="AF32">_xlfn.XLOOKUP(AF$5^$H32,$A$4:$A$1711^$B$4:$B$1711,$D$4:$D$1711,NA(),0,1)</f>
        <v>2533</v>
      </c>
      <c r="AG32" s="5" cm="1">
        <f t="array" ref="AG32">_xlfn.XLOOKUP(AG$5^$H32,$A$4:$A$1711^$B$4:$B$1711,$D$4:$D$1711,NA(),0,1)</f>
        <v>3178</v>
      </c>
      <c r="AH32" s="5" cm="1">
        <f t="array" ref="AH32">_xlfn.XLOOKUP(AH$5^$H32,$A$4:$A$1711^$B$4:$B$1711,$D$4:$D$1711,NA(),0,1)</f>
        <v>2629</v>
      </c>
      <c r="AI32" s="5" cm="1">
        <f t="array" ref="AI32">_xlfn.XLOOKUP(AI$5^$H32,$A$4:$A$1711^$B$4:$B$1711,$D$4:$D$1711,NA(),0,1)</f>
        <v>2369</v>
      </c>
      <c r="AJ32" s="5" cm="1">
        <f t="array" ref="AJ32">_xlfn.XLOOKUP(AJ$5^$H32,$A$4:$A$1711^$B$4:$B$1711,$D$4:$D$1711,NA(),0,1)</f>
        <v>2971</v>
      </c>
      <c r="AK32" s="5" cm="1">
        <f t="array" ref="AK32">_xlfn.XLOOKUP(AK$5^$H32,$A$4:$A$1711^$B$4:$B$1711,$D$4:$D$1711,NA(),0,1)</f>
        <v>3209</v>
      </c>
      <c r="AL32" s="5" cm="1">
        <f t="array" ref="AL32">_xlfn.XLOOKUP(AL$5^$H32,$A$4:$A$1711^$B$4:$B$1711,$D$4:$D$1711,NA(),0,1)</f>
        <v>3052</v>
      </c>
      <c r="AM32" s="5" cm="1">
        <f t="array" ref="AM32">_xlfn.XLOOKUP(AM$5^$H32,$A$4:$A$1711^$B$4:$B$1711,$D$4:$D$1711,NA(),0,1)</f>
        <v>3024</v>
      </c>
    </row>
    <row r="33" spans="1:39" x14ac:dyDescent="0.25">
      <c r="A33" s="5">
        <f t="shared" si="0"/>
        <v>1994</v>
      </c>
      <c r="B33" s="5">
        <f t="shared" si="1"/>
        <v>31</v>
      </c>
      <c r="C33" s="2">
        <v>34544</v>
      </c>
      <c r="D33" s="1">
        <v>2248</v>
      </c>
      <c r="H33" s="5">
        <f t="shared" si="3"/>
        <v>29</v>
      </c>
      <c r="I33" s="5" cm="1">
        <f t="array" ref="I33">_xlfn.XLOOKUP(I$5^$H33,$A$4:$A$1711^B31:B1738,D31:D1738,NA(),0,1)</f>
        <v>1770</v>
      </c>
      <c r="J33" s="5" cm="1">
        <f t="array" ref="J33">_xlfn.XLOOKUP(J$5^$H33,$A$4:$A$1711^$B$4:$B$1711,$D$4:$D$1711,NA(),0,1)</f>
        <v>1921</v>
      </c>
      <c r="K33" s="5" cm="1">
        <f t="array" ref="K33">_xlfn.XLOOKUP(K$5^$H33,$A$4:$A$1711^$B$4:$B$1711,$D$4:$D$1711,NA(),0,1)</f>
        <v>2306</v>
      </c>
      <c r="L33" s="5" cm="1">
        <f t="array" ref="L33">_xlfn.XLOOKUP(L$5^$H33,$A$4:$A$1711^$B$4:$B$1711,$D$4:$D$1711,NA(),0,1)</f>
        <v>2308</v>
      </c>
      <c r="M33" s="5" cm="1">
        <f t="array" ref="M33">_xlfn.XLOOKUP(M$5^$H33,$A$4:$A$1711^$B$4:$B$1711,$D$4:$D$1711,NA(),0,1)</f>
        <v>1875</v>
      </c>
      <c r="N33" s="5" cm="1">
        <f t="array" ref="N33">_xlfn.XLOOKUP(N$5^$H33,$A$4:$A$1711^$B$4:$B$1711,$D$4:$D$1711,NA(),0,1)</f>
        <v>2152</v>
      </c>
      <c r="O33" s="5" cm="1">
        <f t="array" ref="O33">_xlfn.XLOOKUP(O$5^$H33,$A$4:$A$1711^$B$4:$B$1711,$D$4:$D$1711,NA(),0,1)</f>
        <v>2486</v>
      </c>
      <c r="P33" s="5" cm="1">
        <f t="array" ref="P33">_xlfn.XLOOKUP(P$5^$H33,$A$4:$A$1711^$B$4:$B$1711,$D$4:$D$1711,NA(),0,1)</f>
        <v>1981</v>
      </c>
      <c r="Q33" s="5" cm="1">
        <f t="array" ref="Q33">_xlfn.XLOOKUP(Q$5^$H33,$A$4:$A$1711^$B$4:$B$1711,$D$4:$D$1711,NA(),0,1)</f>
        <v>2227</v>
      </c>
      <c r="R33" s="5" cm="1">
        <f t="array" ref="R33">_xlfn.XLOOKUP(R$5^$H33,$A$4:$A$1711^$B$4:$B$1711,$D$4:$D$1711,NA(),0,1)</f>
        <v>2344</v>
      </c>
      <c r="S33" s="5" cm="1">
        <f t="array" ref="S33">_xlfn.XLOOKUP(S$5^$H33,$A$4:$A$1711^$B$4:$B$1711,$D$4:$D$1711,NA(),0,1)</f>
        <v>2756</v>
      </c>
      <c r="T33" s="5" cm="1">
        <f t="array" ref="T33">_xlfn.XLOOKUP(T$5^$H33,$A$4:$A$1711^$B$4:$B$1711,$D$4:$D$1711,NA(),0,1)</f>
        <v>2763</v>
      </c>
      <c r="U33" s="5" cm="1">
        <f t="array" ref="U33">_xlfn.XLOOKUP(U$5^$H33,$A$4:$A$1711^$B$4:$B$1711,$D$4:$D$1711,NA(),0,1)</f>
        <v>2396</v>
      </c>
      <c r="V33" s="5" cm="1">
        <f t="array" ref="V33">_xlfn.XLOOKUP(V$5^$H33,$A$4:$A$1711^$B$4:$B$1711,$D$4:$D$1711,NA(),0,1)</f>
        <v>2952</v>
      </c>
      <c r="W33" s="5" cm="1">
        <f t="array" ref="W33">_xlfn.XLOOKUP(W$5^$H33,$A$4:$A$1711^$B$4:$B$1711,$D$4:$D$1711,NA(),0,1)</f>
        <v>2893</v>
      </c>
      <c r="X33" s="5" cm="1">
        <f t="array" ref="X33">_xlfn.XLOOKUP(X$5^$H33,$A$4:$A$1711^$B$4:$B$1711,$D$4:$D$1711,NA(),0,1)</f>
        <v>2671</v>
      </c>
      <c r="Y33" s="5" cm="1">
        <f t="array" ref="Y33">_xlfn.XLOOKUP(Y$5^$H33,$A$4:$A$1711^$B$4:$B$1711,$D$4:$D$1711,NA(),0,1)</f>
        <v>3190</v>
      </c>
      <c r="Z33" s="5" cm="1">
        <f t="array" ref="Z33">_xlfn.XLOOKUP(Z$5^$H33,$A$4:$A$1711^$B$4:$B$1711,$D$4:$D$1711,NA(),0,1)</f>
        <v>2786</v>
      </c>
      <c r="AA33" s="5" cm="1">
        <f t="array" ref="AA33">_xlfn.XLOOKUP(AA$5^$H33,$A$4:$A$1711^$B$4:$B$1711,$D$4:$D$1711,NA(),0,1)</f>
        <v>2219</v>
      </c>
      <c r="AB33" s="5" cm="1">
        <f t="array" ref="AB33">_xlfn.XLOOKUP(AB$5^$H33,$A$4:$A$1711^$B$4:$B$1711,$D$4:$D$1711,NA(),0,1)</f>
        <v>2823</v>
      </c>
      <c r="AC33" s="5" cm="1">
        <f t="array" ref="AC33">_xlfn.XLOOKUP(AC$5^$H33,$A$4:$A$1711^$B$4:$B$1711,$D$4:$D$1711,NA(),0,1)</f>
        <v>3277</v>
      </c>
      <c r="AD33" s="5" cm="1">
        <f t="array" ref="AD33">_xlfn.XLOOKUP(AD$5^$H33,$A$4:$A$1711^$B$4:$B$1711,$D$4:$D$1711,NA(),0,1)</f>
        <v>2980</v>
      </c>
      <c r="AE33" s="5" cm="1">
        <f t="array" ref="AE33">_xlfn.XLOOKUP(AE$5^$H33,$A$4:$A$1711^$B$4:$B$1711,$D$4:$D$1711,NA(),0,1)</f>
        <v>2272</v>
      </c>
      <c r="AF33" s="5" cm="1">
        <f t="array" ref="AF33">_xlfn.XLOOKUP(AF$5^$H33,$A$4:$A$1711^$B$4:$B$1711,$D$4:$D$1711,NA(),0,1)</f>
        <v>2569</v>
      </c>
      <c r="AG33" s="5" cm="1">
        <f t="array" ref="AG33">_xlfn.XLOOKUP(AG$5^$H33,$A$4:$A$1711^$B$4:$B$1711,$D$4:$D$1711,NA(),0,1)</f>
        <v>3215</v>
      </c>
      <c r="AH33" s="5" cm="1">
        <f t="array" ref="AH33">_xlfn.XLOOKUP(AH$5^$H33,$A$4:$A$1711^$B$4:$B$1711,$D$4:$D$1711,NA(),0,1)</f>
        <v>2678</v>
      </c>
      <c r="AI33" s="5" cm="1">
        <f t="array" ref="AI33">_xlfn.XLOOKUP(AI$5^$H33,$A$4:$A$1711^$B$4:$B$1711,$D$4:$D$1711,NA(),0,1)</f>
        <v>2401</v>
      </c>
      <c r="AJ33" s="5" cm="1">
        <f t="array" ref="AJ33">_xlfn.XLOOKUP(AJ$5^$H33,$A$4:$A$1711^$B$4:$B$1711,$D$4:$D$1711,NA(),0,1)</f>
        <v>2987</v>
      </c>
      <c r="AK33" s="5" cm="1">
        <f t="array" ref="AK33">_xlfn.XLOOKUP(AK$5^$H33,$A$4:$A$1711^$B$4:$B$1711,$D$4:$D$1711,NA(),0,1)</f>
        <v>3231</v>
      </c>
      <c r="AL33" s="5" cm="1">
        <f t="array" ref="AL33">_xlfn.XLOOKUP(AL$5^$H33,$A$4:$A$1711^$B$4:$B$1711,$D$4:$D$1711,NA(),0,1)</f>
        <v>3075</v>
      </c>
      <c r="AM33" s="5" cm="1">
        <f t="array" ref="AM33">_xlfn.XLOOKUP(AM$5^$H33,$A$4:$A$1711^$B$4:$B$1711,$D$4:$D$1711,NA(),0,1)</f>
        <v>3056</v>
      </c>
    </row>
    <row r="34" spans="1:39" x14ac:dyDescent="0.25">
      <c r="A34" s="5">
        <f t="shared" si="0"/>
        <v>1994</v>
      </c>
      <c r="B34" s="5">
        <f t="shared" si="1"/>
        <v>32</v>
      </c>
      <c r="C34" s="2">
        <v>34551</v>
      </c>
      <c r="D34" s="1">
        <v>2335</v>
      </c>
      <c r="H34" s="5">
        <f t="shared" si="3"/>
        <v>30</v>
      </c>
      <c r="I34" s="5" cm="1">
        <f t="array" ref="I34">_xlfn.XLOOKUP(I$5^$H34,$A$4:$A$1711^B32:B1739,D32:D1739,NA(),0,1)</f>
        <v>1844</v>
      </c>
      <c r="J34" s="5" cm="1">
        <f t="array" ref="J34">_xlfn.XLOOKUP(J$5^$H34,$A$4:$A$1711^$B$4:$B$1711,$D$4:$D$1711,NA(),0,1)</f>
        <v>1976</v>
      </c>
      <c r="K34" s="5" cm="1">
        <f t="array" ref="K34">_xlfn.XLOOKUP(K$5^$H34,$A$4:$A$1711^$B$4:$B$1711,$D$4:$D$1711,NA(),0,1)</f>
        <v>2366</v>
      </c>
      <c r="L34" s="5" cm="1">
        <f t="array" ref="L34">_xlfn.XLOOKUP(L$5^$H34,$A$4:$A$1711^$B$4:$B$1711,$D$4:$D$1711,NA(),0,1)</f>
        <v>2348</v>
      </c>
      <c r="M34" s="5" cm="1">
        <f t="array" ref="M34">_xlfn.XLOOKUP(M$5^$H34,$A$4:$A$1711^$B$4:$B$1711,$D$4:$D$1711,NA(),0,1)</f>
        <v>1921</v>
      </c>
      <c r="N34" s="5" cm="1">
        <f t="array" ref="N34">_xlfn.XLOOKUP(N$5^$H34,$A$4:$A$1711^$B$4:$B$1711,$D$4:$D$1711,NA(),0,1)</f>
        <v>2220</v>
      </c>
      <c r="O34" s="5" cm="1">
        <f t="array" ref="O34">_xlfn.XLOOKUP(O$5^$H34,$A$4:$A$1711^$B$4:$B$1711,$D$4:$D$1711,NA(),0,1)</f>
        <v>2534</v>
      </c>
      <c r="P34" s="5" cm="1">
        <f t="array" ref="P34">_xlfn.XLOOKUP(P$5^$H34,$A$4:$A$1711^$B$4:$B$1711,$D$4:$D$1711,NA(),0,1)</f>
        <v>2062</v>
      </c>
      <c r="Q34" s="5" cm="1">
        <f t="array" ref="Q34">_xlfn.XLOOKUP(Q$5^$H34,$A$4:$A$1711^$B$4:$B$1711,$D$4:$D$1711,NA(),0,1)</f>
        <v>2297</v>
      </c>
      <c r="R34" s="5" cm="1">
        <f t="array" ref="R34">_xlfn.XLOOKUP(R$5^$H34,$A$4:$A$1711^$B$4:$B$1711,$D$4:$D$1711,NA(),0,1)</f>
        <v>2383</v>
      </c>
      <c r="S34" s="5" cm="1">
        <f t="array" ref="S34">_xlfn.XLOOKUP(S$5^$H34,$A$4:$A$1711^$B$4:$B$1711,$D$4:$D$1711,NA(),0,1)</f>
        <v>2775</v>
      </c>
      <c r="T34" s="5" cm="1">
        <f t="array" ref="T34">_xlfn.XLOOKUP(T$5^$H34,$A$4:$A$1711^$B$4:$B$1711,$D$4:$D$1711,NA(),0,1)</f>
        <v>2840</v>
      </c>
      <c r="U34" s="5" cm="1">
        <f t="array" ref="U34">_xlfn.XLOOKUP(U$5^$H34,$A$4:$A$1711^$B$4:$B$1711,$D$4:$D$1711,NA(),0,1)</f>
        <v>2461</v>
      </c>
      <c r="V34" s="5" cm="1">
        <f t="array" ref="V34">_xlfn.XLOOKUP(V$5^$H34,$A$4:$A$1711^$B$4:$B$1711,$D$4:$D$1711,NA(),0,1)</f>
        <v>3023</v>
      </c>
      <c r="W34" s="5" cm="1">
        <f t="array" ref="W34">_xlfn.XLOOKUP(W$5^$H34,$A$4:$A$1711^$B$4:$B$1711,$D$4:$D$1711,NA(),0,1)</f>
        <v>2919</v>
      </c>
      <c r="X34" s="5" cm="1">
        <f t="array" ref="X34">_xlfn.XLOOKUP(X$5^$H34,$A$4:$A$1711^$B$4:$B$1711,$D$4:$D$1711,NA(),0,1)</f>
        <v>2714</v>
      </c>
      <c r="Y34" s="5" cm="1">
        <f t="array" ref="Y34">_xlfn.XLOOKUP(Y$5^$H34,$A$4:$A$1711^$B$4:$B$1711,$D$4:$D$1711,NA(),0,1)</f>
        <v>3217</v>
      </c>
      <c r="Z34" s="5" cm="1">
        <f t="array" ref="Z34">_xlfn.XLOOKUP(Z$5^$H34,$A$4:$A$1711^$B$4:$B$1711,$D$4:$D$1711,NA(),0,1)</f>
        <v>2845</v>
      </c>
      <c r="AA34" s="5" cm="1">
        <f t="array" ref="AA34">_xlfn.XLOOKUP(AA$5^$H34,$A$4:$A$1711^$B$4:$B$1711,$D$4:$D$1711,NA(),0,1)</f>
        <v>2307</v>
      </c>
      <c r="AB34" s="5" cm="1">
        <f t="array" ref="AB34">_xlfn.XLOOKUP(AB$5^$H34,$A$4:$A$1711^$B$4:$B$1711,$D$4:$D$1711,NA(),0,1)</f>
        <v>2872</v>
      </c>
      <c r="AC34" s="5" cm="1">
        <f t="array" ref="AC34">_xlfn.XLOOKUP(AC$5^$H34,$A$4:$A$1711^$B$4:$B$1711,$D$4:$D$1711,NA(),0,1)</f>
        <v>3294</v>
      </c>
      <c r="AD34" s="5" cm="1">
        <f t="array" ref="AD34">_xlfn.XLOOKUP(AD$5^$H34,$A$4:$A$1711^$B$4:$B$1711,$D$4:$D$1711,NA(),0,1)</f>
        <v>2999</v>
      </c>
      <c r="AE34" s="5" cm="1">
        <f t="array" ref="AE34">_xlfn.XLOOKUP(AE$5^$H34,$A$4:$A$1711^$B$4:$B$1711,$D$4:$D$1711,NA(),0,1)</f>
        <v>2305</v>
      </c>
      <c r="AF34" s="5" cm="1">
        <f t="array" ref="AF34">_xlfn.XLOOKUP(AF$5^$H34,$A$4:$A$1711^$B$4:$B$1711,$D$4:$D$1711,NA(),0,1)</f>
        <v>2634</v>
      </c>
      <c r="AG34" s="5" cm="1">
        <f t="array" ref="AG34">_xlfn.XLOOKUP(AG$5^$H34,$A$4:$A$1711^$B$4:$B$1711,$D$4:$D$1711,NA(),0,1)</f>
        <v>3241</v>
      </c>
      <c r="AH34" s="5" cm="1">
        <f t="array" ref="AH34">_xlfn.XLOOKUP(AH$5^$H34,$A$4:$A$1711^$B$4:$B$1711,$D$4:$D$1711,NA(),0,1)</f>
        <v>2714</v>
      </c>
      <c r="AI34" s="5" cm="1">
        <f t="array" ref="AI34">_xlfn.XLOOKUP(AI$5^$H34,$A$4:$A$1711^$B$4:$B$1711,$D$4:$D$1711,NA(),0,1)</f>
        <v>2416</v>
      </c>
      <c r="AJ34" s="5" cm="1">
        <f t="array" ref="AJ34">_xlfn.XLOOKUP(AJ$5^$H34,$A$4:$A$1711^$B$4:$B$1711,$D$4:$D$1711,NA(),0,1)</f>
        <v>3001</v>
      </c>
      <c r="AK34" s="5" cm="1">
        <f t="array" ref="AK34">_xlfn.XLOOKUP(AK$5^$H34,$A$4:$A$1711^$B$4:$B$1711,$D$4:$D$1711,NA(),0,1)</f>
        <v>3249</v>
      </c>
      <c r="AL34" s="5" cm="1">
        <f t="array" ref="AL34">_xlfn.XLOOKUP(AL$5^$H34,$A$4:$A$1711^$B$4:$B$1711,$D$4:$D$1711,NA(),0,1)</f>
        <v>3123</v>
      </c>
      <c r="AM34" s="5" cm="1">
        <f t="array" ref="AM34">_xlfn.XLOOKUP(AM$5^$H34,$A$4:$A$1711^$B$4:$B$1711,$D$4:$D$1711,NA(),0,1)</f>
        <v>3084</v>
      </c>
    </row>
    <row r="35" spans="1:39" x14ac:dyDescent="0.25">
      <c r="A35" s="5">
        <f t="shared" si="0"/>
        <v>1994</v>
      </c>
      <c r="B35" s="5">
        <f t="shared" si="1"/>
        <v>33</v>
      </c>
      <c r="C35" s="2">
        <v>34558</v>
      </c>
      <c r="D35" s="1">
        <v>2396</v>
      </c>
      <c r="H35" s="5">
        <f t="shared" si="3"/>
        <v>31</v>
      </c>
      <c r="I35" s="5" cm="1">
        <f t="array" ref="I35">_xlfn.XLOOKUP(I$5^$H35,$A$4:$A$1711^B33:B1740,D33:D1740,NA(),0,1)</f>
        <v>1921</v>
      </c>
      <c r="J35" s="5" cm="1">
        <f t="array" ref="J35">_xlfn.XLOOKUP(J$5^$H35,$A$4:$A$1711^$B$4:$B$1711,$D$4:$D$1711,NA(),0,1)</f>
        <v>2024</v>
      </c>
      <c r="K35" s="5" cm="1">
        <f t="array" ref="K35">_xlfn.XLOOKUP(K$5^$H35,$A$4:$A$1711^$B$4:$B$1711,$D$4:$D$1711,NA(),0,1)</f>
        <v>2428</v>
      </c>
      <c r="L35" s="5" cm="1">
        <f t="array" ref="L35">_xlfn.XLOOKUP(L$5^$H35,$A$4:$A$1711^$B$4:$B$1711,$D$4:$D$1711,NA(),0,1)</f>
        <v>2373</v>
      </c>
      <c r="M35" s="5" cm="1">
        <f t="array" ref="M35">_xlfn.XLOOKUP(M$5^$H35,$A$4:$A$1711^$B$4:$B$1711,$D$4:$D$1711,NA(),0,1)</f>
        <v>1978</v>
      </c>
      <c r="N35" s="5" cm="1">
        <f t="array" ref="N35">_xlfn.XLOOKUP(N$5^$H35,$A$4:$A$1711^$B$4:$B$1711,$D$4:$D$1711,NA(),0,1)</f>
        <v>2295</v>
      </c>
      <c r="O35" s="5" cm="1">
        <f t="array" ref="O35">_xlfn.XLOOKUP(O$5^$H35,$A$4:$A$1711^$B$4:$B$1711,$D$4:$D$1711,NA(),0,1)</f>
        <v>2567</v>
      </c>
      <c r="P35" s="5" cm="1">
        <f t="array" ref="P35">_xlfn.XLOOKUP(P$5^$H35,$A$4:$A$1711^$B$4:$B$1711,$D$4:$D$1711,NA(),0,1)</f>
        <v>2138</v>
      </c>
      <c r="Q35" s="5" cm="1">
        <f t="array" ref="Q35">_xlfn.XLOOKUP(Q$5^$H35,$A$4:$A$1711^$B$4:$B$1711,$D$4:$D$1711,NA(),0,1)</f>
        <v>2380</v>
      </c>
      <c r="R35" s="5" cm="1">
        <f t="array" ref="R35">_xlfn.XLOOKUP(R$5^$H35,$A$4:$A$1711^$B$4:$B$1711,$D$4:$D$1711,NA(),0,1)</f>
        <v>2420</v>
      </c>
      <c r="S35" s="5" cm="1">
        <f t="array" ref="S35">_xlfn.XLOOKUP(S$5^$H35,$A$4:$A$1711^$B$4:$B$1711,$D$4:$D$1711,NA(),0,1)</f>
        <v>2763</v>
      </c>
      <c r="T35" s="5" cm="1">
        <f t="array" ref="T35">_xlfn.XLOOKUP(T$5^$H35,$A$4:$A$1711^$B$4:$B$1711,$D$4:$D$1711,NA(),0,1)</f>
        <v>2882</v>
      </c>
      <c r="U35" s="5" cm="1">
        <f t="array" ref="U35">_xlfn.XLOOKUP(U$5^$H35,$A$4:$A$1711^$B$4:$B$1711,$D$4:$D$1711,NA(),0,1)</f>
        <v>2517</v>
      </c>
      <c r="V35" s="5" cm="1">
        <f t="array" ref="V35">_xlfn.XLOOKUP(V$5^$H35,$A$4:$A$1711^$B$4:$B$1711,$D$4:$D$1711,NA(),0,1)</f>
        <v>3089</v>
      </c>
      <c r="W35" s="5" cm="1">
        <f t="array" ref="W35">_xlfn.XLOOKUP(W$5^$H35,$A$4:$A$1711^$B$4:$B$1711,$D$4:$D$1711,NA(),0,1)</f>
        <v>2947</v>
      </c>
      <c r="X35" s="5" cm="1">
        <f t="array" ref="X35">_xlfn.XLOOKUP(X$5^$H35,$A$4:$A$1711^$B$4:$B$1711,$D$4:$D$1711,NA(),0,1)</f>
        <v>2759</v>
      </c>
      <c r="Y35" s="5" cm="1">
        <f t="array" ref="Y35">_xlfn.XLOOKUP(Y$5^$H35,$A$4:$A$1711^$B$4:$B$1711,$D$4:$D$1711,NA(),0,1)</f>
        <v>3240</v>
      </c>
      <c r="Z35" s="5" cm="1">
        <f t="array" ref="Z35">_xlfn.XLOOKUP(Z$5^$H35,$A$4:$A$1711^$B$4:$B$1711,$D$4:$D$1711,NA(),0,1)</f>
        <v>2940</v>
      </c>
      <c r="AA35" s="5" cm="1">
        <f t="array" ref="AA35">_xlfn.XLOOKUP(AA$5^$H35,$A$4:$A$1711^$B$4:$B$1711,$D$4:$D$1711,NA(),0,1)</f>
        <v>2388</v>
      </c>
      <c r="AB35" s="5" cm="1">
        <f t="array" ref="AB35">_xlfn.XLOOKUP(AB$5^$H35,$A$4:$A$1711^$B$4:$B$1711,$D$4:$D$1711,NA(),0,1)</f>
        <v>2910</v>
      </c>
      <c r="AC35" s="5" cm="1">
        <f t="array" ref="AC35">_xlfn.XLOOKUP(AC$5^$H35,$A$4:$A$1711^$B$4:$B$1711,$D$4:$D$1711,NA(),0,1)</f>
        <v>3288</v>
      </c>
      <c r="AD35" s="5" cm="1">
        <f t="array" ref="AD35">_xlfn.XLOOKUP(AD$5^$H35,$A$4:$A$1711^$B$4:$B$1711,$D$4:$D$1711,NA(),0,1)</f>
        <v>3029</v>
      </c>
      <c r="AE35" s="5" cm="1">
        <f t="array" ref="AE35">_xlfn.XLOOKUP(AE$5^$H35,$A$4:$A$1711^$B$4:$B$1711,$D$4:$D$1711,NA(),0,1)</f>
        <v>2353</v>
      </c>
      <c r="AF35" s="5" cm="1">
        <f t="array" ref="AF35">_xlfn.XLOOKUP(AF$5^$H35,$A$4:$A$1711^$B$4:$B$1711,$D$4:$D$1711,NA(),0,1)</f>
        <v>2689</v>
      </c>
      <c r="AG35" s="5" cm="1">
        <f t="array" ref="AG35">_xlfn.XLOOKUP(AG$5^$H35,$A$4:$A$1711^$B$4:$B$1711,$D$4:$D$1711,NA(),0,1)</f>
        <v>3274</v>
      </c>
      <c r="AH35" s="5" cm="1">
        <f t="array" ref="AH35">_xlfn.XLOOKUP(AH$5^$H35,$A$4:$A$1711^$B$4:$B$1711,$D$4:$D$1711,NA(),0,1)</f>
        <v>2727</v>
      </c>
      <c r="AI35" s="5" cm="1">
        <f t="array" ref="AI35">_xlfn.XLOOKUP(AI$5^$H35,$A$4:$A$1711^$B$4:$B$1711,$D$4:$D$1711,NA(),0,1)</f>
        <v>2457</v>
      </c>
      <c r="AJ35" s="5" cm="1">
        <f t="array" ref="AJ35">_xlfn.XLOOKUP(AJ$5^$H35,$A$4:$A$1711^$B$4:$B$1711,$D$4:$D$1711,NA(),0,1)</f>
        <v>3030</v>
      </c>
      <c r="AK35" s="5" cm="1">
        <f t="array" ref="AK35">_xlfn.XLOOKUP(AK$5^$H35,$A$4:$A$1711^$B$4:$B$1711,$D$4:$D$1711,NA(),0,1)</f>
        <v>3270</v>
      </c>
      <c r="AL35" s="5" cm="1">
        <f t="array" ref="AL35">_xlfn.XLOOKUP(AL$5^$H35,$A$4:$A$1711^$B$4:$B$1711,$D$4:$D$1711,NA(),0,1)</f>
        <v>3130</v>
      </c>
      <c r="AM35" s="5" cm="1">
        <f t="array" ref="AM35">_xlfn.XLOOKUP(AM$5^$H35,$A$4:$A$1711^$B$4:$B$1711,$D$4:$D$1711,NA(),0,1)</f>
        <v>3117</v>
      </c>
    </row>
    <row r="36" spans="1:39" x14ac:dyDescent="0.25">
      <c r="A36" s="5">
        <f t="shared" si="0"/>
        <v>1994</v>
      </c>
      <c r="B36" s="5">
        <f t="shared" si="1"/>
        <v>34</v>
      </c>
      <c r="C36" s="2">
        <v>34565</v>
      </c>
      <c r="D36" s="1">
        <v>2485</v>
      </c>
      <c r="H36" s="5">
        <f t="shared" si="3"/>
        <v>32</v>
      </c>
      <c r="I36" s="5" cm="1">
        <f t="array" ref="I36">_xlfn.XLOOKUP(I$5^$H36,$A$4:$A$1711^B34:B1741,D34:D1741,NA(),0,1)</f>
        <v>1996</v>
      </c>
      <c r="J36" s="5" cm="1">
        <f t="array" ref="J36">_xlfn.XLOOKUP(J$5^$H36,$A$4:$A$1711^$B$4:$B$1711,$D$4:$D$1711,NA(),0,1)</f>
        <v>2102</v>
      </c>
      <c r="K36" s="5" cm="1">
        <f t="array" ref="K36">_xlfn.XLOOKUP(K$5^$H36,$A$4:$A$1711^$B$4:$B$1711,$D$4:$D$1711,NA(),0,1)</f>
        <v>2499</v>
      </c>
      <c r="L36" s="5" cm="1">
        <f t="array" ref="L36">_xlfn.XLOOKUP(L$5^$H36,$A$4:$A$1711^$B$4:$B$1711,$D$4:$D$1711,NA(),0,1)</f>
        <v>2414</v>
      </c>
      <c r="M36" s="5" cm="1">
        <f t="array" ref="M36">_xlfn.XLOOKUP(M$5^$H36,$A$4:$A$1711^$B$4:$B$1711,$D$4:$D$1711,NA(),0,1)</f>
        <v>2036</v>
      </c>
      <c r="N36" s="5" cm="1">
        <f t="array" ref="N36">_xlfn.XLOOKUP(N$5^$H36,$A$4:$A$1711^$B$4:$B$1711,$D$4:$D$1711,NA(),0,1)</f>
        <v>2341</v>
      </c>
      <c r="O36" s="5" cm="1">
        <f t="array" ref="O36">_xlfn.XLOOKUP(O$5^$H36,$A$4:$A$1711^$B$4:$B$1711,$D$4:$D$1711,NA(),0,1)</f>
        <v>2620</v>
      </c>
      <c r="P36" s="5" cm="1">
        <f t="array" ref="P36">_xlfn.XLOOKUP(P$5^$H36,$A$4:$A$1711^$B$4:$B$1711,$D$4:$D$1711,NA(),0,1)</f>
        <v>2222</v>
      </c>
      <c r="Q36" s="5" cm="1">
        <f t="array" ref="Q36">_xlfn.XLOOKUP(Q$5^$H36,$A$4:$A$1711^$B$4:$B$1711,$D$4:$D$1711,NA(),0,1)</f>
        <v>2452</v>
      </c>
      <c r="R36" s="5" cm="1">
        <f t="array" ref="R36">_xlfn.XLOOKUP(R$5^$H36,$A$4:$A$1711^$B$4:$B$1711,$D$4:$D$1711,NA(),0,1)</f>
        <v>2463</v>
      </c>
      <c r="S36" s="5" cm="1">
        <f t="array" ref="S36">_xlfn.XLOOKUP(S$5^$H36,$A$4:$A$1711^$B$4:$B$1711,$D$4:$D$1711,NA(),0,1)</f>
        <v>2800</v>
      </c>
      <c r="T36" s="5" cm="1">
        <f t="array" ref="T36">_xlfn.XLOOKUP(T$5^$H36,$A$4:$A$1711^$B$4:$B$1711,$D$4:$D$1711,NA(),0,1)</f>
        <v>2903</v>
      </c>
      <c r="U36" s="5" cm="1">
        <f t="array" ref="U36">_xlfn.XLOOKUP(U$5^$H36,$A$4:$A$1711^$B$4:$B$1711,$D$4:$D$1711,NA(),0,1)</f>
        <v>2567</v>
      </c>
      <c r="V36" s="5" cm="1">
        <f t="array" ref="V36">_xlfn.XLOOKUP(V$5^$H36,$A$4:$A$1711^$B$4:$B$1711,$D$4:$D$1711,NA(),0,1)</f>
        <v>3152</v>
      </c>
      <c r="W36" s="5" cm="1">
        <f t="array" ref="W36">_xlfn.XLOOKUP(W$5^$H36,$A$4:$A$1711^$B$4:$B$1711,$D$4:$D$1711,NA(),0,1)</f>
        <v>2984</v>
      </c>
      <c r="X36" s="5" cm="1">
        <f t="array" ref="X36">_xlfn.XLOOKUP(X$5^$H36,$A$4:$A$1711^$B$4:$B$1711,$D$4:$D$1711,NA(),0,1)</f>
        <v>2783</v>
      </c>
      <c r="Y36" s="5" cm="1">
        <f t="array" ref="Y36">_xlfn.XLOOKUP(Y$5^$H36,$A$4:$A$1711^$B$4:$B$1711,$D$4:$D$1711,NA(),0,1)</f>
        <v>3261</v>
      </c>
      <c r="Z36" s="5" cm="1">
        <f t="array" ref="Z36">_xlfn.XLOOKUP(Z$5^$H36,$A$4:$A$1711^$B$4:$B$1711,$D$4:$D$1711,NA(),0,1)</f>
        <v>3007</v>
      </c>
      <c r="AA36" s="5" cm="1">
        <f t="array" ref="AA36">_xlfn.XLOOKUP(AA$5^$H36,$A$4:$A$1711^$B$4:$B$1711,$D$4:$D$1711,NA(),0,1)</f>
        <v>2467</v>
      </c>
      <c r="AB36" s="5" cm="1">
        <f t="array" ref="AB36">_xlfn.XLOOKUP(AB$5^$H36,$A$4:$A$1711^$B$4:$B$1711,$D$4:$D$1711,NA(),0,1)</f>
        <v>2975</v>
      </c>
      <c r="AC36" s="5" cm="1">
        <f t="array" ref="AC36">_xlfn.XLOOKUP(AC$5^$H36,$A$4:$A$1711^$B$4:$B$1711,$D$4:$D$1711,NA(),0,1)</f>
        <v>3317</v>
      </c>
      <c r="AD36" s="5" cm="1">
        <f t="array" ref="AD36">_xlfn.XLOOKUP(AD$5^$H36,$A$4:$A$1711^$B$4:$B$1711,$D$4:$D$1711,NA(),0,1)</f>
        <v>3082</v>
      </c>
      <c r="AE36" s="5" cm="1">
        <f t="array" ref="AE36">_xlfn.XLOOKUP(AE$5^$H36,$A$4:$A$1711^$B$4:$B$1711,$D$4:$D$1711,NA(),0,1)</f>
        <v>2386</v>
      </c>
      <c r="AF36" s="5" cm="1">
        <f t="array" ref="AF36">_xlfn.XLOOKUP(AF$5^$H36,$A$4:$A$1711^$B$4:$B$1711,$D$4:$D$1711,NA(),0,1)</f>
        <v>2738</v>
      </c>
      <c r="AG36" s="5" cm="1">
        <f t="array" ref="AG36">_xlfn.XLOOKUP(AG$5^$H36,$A$4:$A$1711^$B$4:$B$1711,$D$4:$D$1711,NA(),0,1)</f>
        <v>3332</v>
      </c>
      <c r="AH36" s="5" cm="1">
        <f t="array" ref="AH36">_xlfn.XLOOKUP(AH$5^$H36,$A$4:$A$1711^$B$4:$B$1711,$D$4:$D$1711,NA(),0,1)</f>
        <v>2776</v>
      </c>
      <c r="AI36" s="5" cm="1">
        <f t="array" ref="AI36">_xlfn.XLOOKUP(AI$5^$H36,$A$4:$A$1711^$B$4:$B$1711,$D$4:$D$1711,NA(),0,1)</f>
        <v>2501</v>
      </c>
      <c r="AJ36" s="5" cm="1">
        <f t="array" ref="AJ36">_xlfn.XLOOKUP(AJ$5^$H36,$A$4:$A$1711^$B$4:$B$1711,$D$4:$D$1711,NA(),0,1)</f>
        <v>3065</v>
      </c>
      <c r="AK36" s="5" cm="1">
        <f t="array" ref="AK36">_xlfn.XLOOKUP(AK$5^$H36,$A$4:$A$1711^$B$4:$B$1711,$D$4:$D$1711,NA(),0,1)</f>
        <v>3264</v>
      </c>
      <c r="AL36" s="5" cm="1">
        <f t="array" ref="AL36">_xlfn.XLOOKUP(AL$5^$H36,$A$4:$A$1711^$B$4:$B$1711,$D$4:$D$1711,NA(),0,1)</f>
        <v>3186</v>
      </c>
      <c r="AM36" s="5" cm="1">
        <f t="array" ref="AM36">_xlfn.XLOOKUP(AM$5^$H36,$A$4:$A$1711^$B$4:$B$1711,$D$4:$D$1711,NA(),0,1)</f>
        <v>3153</v>
      </c>
    </row>
    <row r="37" spans="1:39" x14ac:dyDescent="0.25">
      <c r="A37" s="5">
        <f t="shared" si="0"/>
        <v>1994</v>
      </c>
      <c r="B37" s="5">
        <f t="shared" si="1"/>
        <v>35</v>
      </c>
      <c r="C37" s="2">
        <v>34572</v>
      </c>
      <c r="D37" s="1">
        <v>2557</v>
      </c>
      <c r="H37" s="5">
        <f t="shared" si="3"/>
        <v>33</v>
      </c>
      <c r="I37" s="5" cm="1">
        <f t="array" ref="I37">_xlfn.XLOOKUP(I$5^$H37,$A$4:$A$1711^B35:B1742,D35:D1742,NA(),0,1)</f>
        <v>2083</v>
      </c>
      <c r="J37" s="5" cm="1">
        <f t="array" ref="J37">_xlfn.XLOOKUP(J$5^$H37,$A$4:$A$1711^$B$4:$B$1711,$D$4:$D$1711,NA(),0,1)</f>
        <v>2169</v>
      </c>
      <c r="K37" s="5" cm="1">
        <f t="array" ref="K37">_xlfn.XLOOKUP(K$5^$H37,$A$4:$A$1711^$B$4:$B$1711,$D$4:$D$1711,NA(),0,1)</f>
        <v>2568</v>
      </c>
      <c r="L37" s="5" cm="1">
        <f t="array" ref="L37">_xlfn.XLOOKUP(L$5^$H37,$A$4:$A$1711^$B$4:$B$1711,$D$4:$D$1711,NA(),0,1)</f>
        <v>2461</v>
      </c>
      <c r="M37" s="5" cm="1">
        <f t="array" ref="M37">_xlfn.XLOOKUP(M$5^$H37,$A$4:$A$1711^$B$4:$B$1711,$D$4:$D$1711,NA(),0,1)</f>
        <v>2080</v>
      </c>
      <c r="N37" s="5" cm="1">
        <f t="array" ref="N37">_xlfn.XLOOKUP(N$5^$H37,$A$4:$A$1711^$B$4:$B$1711,$D$4:$D$1711,NA(),0,1)</f>
        <v>2426</v>
      </c>
      <c r="O37" s="5" cm="1">
        <f t="array" ref="O37">_xlfn.XLOOKUP(O$5^$H37,$A$4:$A$1711^$B$4:$B$1711,$D$4:$D$1711,NA(),0,1)</f>
        <v>2657</v>
      </c>
      <c r="P37" s="5" cm="1">
        <f t="array" ref="P37">_xlfn.XLOOKUP(P$5^$H37,$A$4:$A$1711^$B$4:$B$1711,$D$4:$D$1711,NA(),0,1)</f>
        <v>2299</v>
      </c>
      <c r="Q37" s="5" cm="1">
        <f t="array" ref="Q37">_xlfn.XLOOKUP(Q$5^$H37,$A$4:$A$1711^$B$4:$B$1711,$D$4:$D$1711,NA(),0,1)</f>
        <v>2530</v>
      </c>
      <c r="R37" s="5" cm="1">
        <f t="array" ref="R37">_xlfn.XLOOKUP(R$5^$H37,$A$4:$A$1711^$B$4:$B$1711,$D$4:$D$1711,NA(),0,1)</f>
        <v>2515</v>
      </c>
      <c r="S37" s="5" cm="1">
        <f t="array" ref="S37">_xlfn.XLOOKUP(S$5^$H37,$A$4:$A$1711^$B$4:$B$1711,$D$4:$D$1711,NA(),0,1)</f>
        <v>2857</v>
      </c>
      <c r="T37" s="5" cm="1">
        <f t="array" ref="T37">_xlfn.XLOOKUP(T$5^$H37,$A$4:$A$1711^$B$4:$B$1711,$D$4:$D$1711,NA(),0,1)</f>
        <v>2926</v>
      </c>
      <c r="U37" s="5" cm="1">
        <f t="array" ref="U37">_xlfn.XLOOKUP(U$5^$H37,$A$4:$A$1711^$B$4:$B$1711,$D$4:$D$1711,NA(),0,1)</f>
        <v>2655</v>
      </c>
      <c r="V37" s="5" cm="1">
        <f t="array" ref="V37">_xlfn.XLOOKUP(V$5^$H37,$A$4:$A$1711^$B$4:$B$1711,$D$4:$D$1711,NA(),0,1)</f>
        <v>3204</v>
      </c>
      <c r="W37" s="5" cm="1">
        <f t="array" ref="W37">_xlfn.XLOOKUP(W$5^$H37,$A$4:$A$1711^$B$4:$B$1711,$D$4:$D$1711,NA(),0,1)</f>
        <v>3013</v>
      </c>
      <c r="X37" s="5" cm="1">
        <f t="array" ref="X37">_xlfn.XLOOKUP(X$5^$H37,$A$4:$A$1711^$B$4:$B$1711,$D$4:$D$1711,NA(),0,1)</f>
        <v>2833</v>
      </c>
      <c r="Y37" s="5" cm="1">
        <f t="array" ref="Y37">_xlfn.XLOOKUP(Y$5^$H37,$A$4:$A$1711^$B$4:$B$1711,$D$4:$D$1711,NA(),0,1)</f>
        <v>3308</v>
      </c>
      <c r="Z37" s="5" cm="1">
        <f t="array" ref="Z37">_xlfn.XLOOKUP(Z$5^$H37,$A$4:$A$1711^$B$4:$B$1711,$D$4:$D$1711,NA(),0,1)</f>
        <v>3063</v>
      </c>
      <c r="AA37" s="5" cm="1">
        <f t="array" ref="AA37">_xlfn.XLOOKUP(AA$5^$H37,$A$4:$A$1711^$B$4:$B$1711,$D$4:$D$1711,NA(),0,1)</f>
        <v>2555</v>
      </c>
      <c r="AB37" s="5" cm="1">
        <f t="array" ref="AB37">_xlfn.XLOOKUP(AB$5^$H37,$A$4:$A$1711^$B$4:$B$1711,$D$4:$D$1711,NA(),0,1)</f>
        <v>3027</v>
      </c>
      <c r="AC37" s="5" cm="1">
        <f t="array" ref="AC37">_xlfn.XLOOKUP(AC$5^$H37,$A$4:$A$1711^$B$4:$B$1711,$D$4:$D$1711,NA(),0,1)</f>
        <v>3339</v>
      </c>
      <c r="AD37" s="5" cm="1">
        <f t="array" ref="AD37">_xlfn.XLOOKUP(AD$5^$H37,$A$4:$A$1711^$B$4:$B$1711,$D$4:$D$1711,NA(),0,1)</f>
        <v>3125</v>
      </c>
      <c r="AE37" s="5" cm="1">
        <f t="array" ref="AE37">_xlfn.XLOOKUP(AE$5^$H37,$A$4:$A$1711^$B$4:$B$1711,$D$4:$D$1711,NA(),0,1)</f>
        <v>2435</v>
      </c>
      <c r="AF37" s="5" cm="1">
        <f t="array" ref="AF37">_xlfn.XLOOKUP(AF$5^$H37,$A$4:$A$1711^$B$4:$B$1711,$D$4:$D$1711,NA(),0,1)</f>
        <v>2797</v>
      </c>
      <c r="AG37" s="5" cm="1">
        <f t="array" ref="AG37">_xlfn.XLOOKUP(AG$5^$H37,$A$4:$A$1711^$B$4:$B$1711,$D$4:$D$1711,NA(),0,1)</f>
        <v>3375</v>
      </c>
      <c r="AH37" s="5" cm="1">
        <f t="array" ref="AH37">_xlfn.XLOOKUP(AH$5^$H37,$A$4:$A$1711^$B$4:$B$1711,$D$4:$D$1711,NA(),0,1)</f>
        <v>2822</v>
      </c>
      <c r="AI37" s="5" cm="1">
        <f t="array" ref="AI37">_xlfn.XLOOKUP(AI$5^$H37,$A$4:$A$1711^$B$4:$B$1711,$D$4:$D$1711,NA(),0,1)</f>
        <v>2519</v>
      </c>
      <c r="AJ37" s="5" cm="1">
        <f t="array" ref="AJ37">_xlfn.XLOOKUP(AJ$5^$H37,$A$4:$A$1711^$B$4:$B$1711,$D$4:$D$1711,NA(),0,1)</f>
        <v>3083</v>
      </c>
      <c r="AK37" s="5" cm="1">
        <f t="array" ref="AK37">_xlfn.XLOOKUP(AK$5^$H37,$A$4:$A$1711^$B$4:$B$1711,$D$4:$D$1711,NA(),0,1)</f>
        <v>3299</v>
      </c>
      <c r="AL37" s="5" cm="1">
        <f t="array" ref="AL37">_xlfn.XLOOKUP(AL$5^$H37,$A$4:$A$1711^$B$4:$B$1711,$D$4:$D$1711,NA(),0,1)</f>
        <v>3199</v>
      </c>
      <c r="AM37" s="5" cm="1">
        <f t="array" ref="AM37">_xlfn.XLOOKUP(AM$5^$H37,$A$4:$A$1711^$B$4:$B$1711,$D$4:$D$1711,NA(),0,1)</f>
        <v>3169</v>
      </c>
    </row>
    <row r="38" spans="1:39" x14ac:dyDescent="0.25">
      <c r="A38" s="5">
        <f t="shared" si="0"/>
        <v>1994</v>
      </c>
      <c r="B38" s="5">
        <f t="shared" si="1"/>
        <v>36</v>
      </c>
      <c r="C38" s="2">
        <v>34579</v>
      </c>
      <c r="D38" s="1">
        <v>2632</v>
      </c>
      <c r="H38" s="5">
        <f t="shared" si="3"/>
        <v>34</v>
      </c>
      <c r="I38" s="5" cm="1">
        <f t="array" ref="I38">_xlfn.XLOOKUP(I$5^$H38,$A$4:$A$1711^B36:B1743,D36:D1743,NA(),0,1)</f>
        <v>2146</v>
      </c>
      <c r="J38" s="5" cm="1">
        <f t="array" ref="J38">_xlfn.XLOOKUP(J$5^$H38,$A$4:$A$1711^$B$4:$B$1711,$D$4:$D$1711,NA(),0,1)</f>
        <v>2232</v>
      </c>
      <c r="K38" s="5" cm="1">
        <f t="array" ref="K38">_xlfn.XLOOKUP(K$5^$H38,$A$4:$A$1711^$B$4:$B$1711,$D$4:$D$1711,NA(),0,1)</f>
        <v>2634</v>
      </c>
      <c r="L38" s="5" cm="1">
        <f t="array" ref="L38">_xlfn.XLOOKUP(L$5^$H38,$A$4:$A$1711^$B$4:$B$1711,$D$4:$D$1711,NA(),0,1)</f>
        <v>2508</v>
      </c>
      <c r="M38" s="5" cm="1">
        <f t="array" ref="M38">_xlfn.XLOOKUP(M$5^$H38,$A$4:$A$1711^$B$4:$B$1711,$D$4:$D$1711,NA(),0,1)</f>
        <v>2127</v>
      </c>
      <c r="N38" s="5" cm="1">
        <f t="array" ref="N38">_xlfn.XLOOKUP(N$5^$H38,$A$4:$A$1711^$B$4:$B$1711,$D$4:$D$1711,NA(),0,1)</f>
        <v>2500</v>
      </c>
      <c r="O38" s="5" cm="1">
        <f t="array" ref="O38">_xlfn.XLOOKUP(O$5^$H38,$A$4:$A$1711^$B$4:$B$1711,$D$4:$D$1711,NA(),0,1)</f>
        <v>2716</v>
      </c>
      <c r="P38" s="5" cm="1">
        <f t="array" ref="P38">_xlfn.XLOOKUP(P$5^$H38,$A$4:$A$1711^$B$4:$B$1711,$D$4:$D$1711,NA(),0,1)</f>
        <v>2352</v>
      </c>
      <c r="Q38" s="5" cm="1">
        <f t="array" ref="Q38">_xlfn.XLOOKUP(Q$5^$H38,$A$4:$A$1711^$B$4:$B$1711,$D$4:$D$1711,NA(),0,1)</f>
        <v>2614</v>
      </c>
      <c r="R38" s="5" cm="1">
        <f t="array" ref="R38">_xlfn.XLOOKUP(R$5^$H38,$A$4:$A$1711^$B$4:$B$1711,$D$4:$D$1711,NA(),0,1)</f>
        <v>2575</v>
      </c>
      <c r="S38" s="5" cm="1">
        <f t="array" ref="S38">_xlfn.XLOOKUP(S$5^$H38,$A$4:$A$1711^$B$4:$B$1711,$D$4:$D$1711,NA(),0,1)</f>
        <v>2905</v>
      </c>
      <c r="T38" s="5" cm="1">
        <f t="array" ref="T38">_xlfn.XLOOKUP(T$5^$H38,$A$4:$A$1711^$B$4:$B$1711,$D$4:$D$1711,NA(),0,1)</f>
        <v>2969</v>
      </c>
      <c r="U38" s="5" cm="1">
        <f t="array" ref="U38">_xlfn.XLOOKUP(U$5^$H38,$A$4:$A$1711^$B$4:$B$1711,$D$4:$D$1711,NA(),0,1)</f>
        <v>2757</v>
      </c>
      <c r="V38" s="5" cm="1">
        <f t="array" ref="V38">_xlfn.XLOOKUP(V$5^$H38,$A$4:$A$1711^$B$4:$B$1711,$D$4:$D$1711,NA(),0,1)</f>
        <v>3258</v>
      </c>
      <c r="W38" s="5" cm="1">
        <f t="array" ref="W38">_xlfn.XLOOKUP(W$5^$H38,$A$4:$A$1711^$B$4:$B$1711,$D$4:$D$1711,NA(),0,1)</f>
        <v>3054</v>
      </c>
      <c r="X38" s="5" cm="1">
        <f t="array" ref="X38">_xlfn.XLOOKUP(X$5^$H38,$A$4:$A$1711^$B$4:$B$1711,$D$4:$D$1711,NA(),0,1)</f>
        <v>2906</v>
      </c>
      <c r="Y38" s="5" cm="1">
        <f t="array" ref="Y38">_xlfn.XLOOKUP(Y$5^$H38,$A$4:$A$1711^$B$4:$B$1711,$D$4:$D$1711,NA(),0,1)</f>
        <v>3374</v>
      </c>
      <c r="Z38" s="5" cm="1">
        <f t="array" ref="Z38">_xlfn.XLOOKUP(Z$5^$H38,$A$4:$A$1711^$B$4:$B$1711,$D$4:$D$1711,NA(),0,1)</f>
        <v>3131</v>
      </c>
      <c r="AA38" s="5" cm="1">
        <f t="array" ref="AA38">_xlfn.XLOOKUP(AA$5^$H38,$A$4:$A$1711^$B$4:$B$1711,$D$4:$D$1711,NA(),0,1)</f>
        <v>2631</v>
      </c>
      <c r="AB38" s="5" cm="1">
        <f t="array" ref="AB38">_xlfn.XLOOKUP(AB$5^$H38,$A$4:$A$1711^$B$4:$B$1711,$D$4:$D$1711,NA(),0,1)</f>
        <v>3094</v>
      </c>
      <c r="AC38" s="5" cm="1">
        <f t="array" ref="AC38">_xlfn.XLOOKUP(AC$5^$H38,$A$4:$A$1711^$B$4:$B$1711,$D$4:$D$1711,NA(),0,1)</f>
        <v>3350</v>
      </c>
      <c r="AD38" s="5" cm="1">
        <f t="array" ref="AD38">_xlfn.XLOOKUP(AD$5^$H38,$A$4:$A$1711^$B$4:$B$1711,$D$4:$D$1711,NA(),0,1)</f>
        <v>3155</v>
      </c>
      <c r="AE38" s="5" cm="1">
        <f t="array" ref="AE38">_xlfn.XLOOKUP(AE$5^$H38,$A$4:$A$1711^$B$4:$B$1711,$D$4:$D$1711,NA(),0,1)</f>
        <v>2504</v>
      </c>
      <c r="AF38" s="5" cm="1">
        <f t="array" ref="AF38">_xlfn.XLOOKUP(AF$5^$H38,$A$4:$A$1711^$B$4:$B$1711,$D$4:$D$1711,NA(),0,1)</f>
        <v>2857</v>
      </c>
      <c r="AG38" s="5" cm="1">
        <f t="array" ref="AG38">_xlfn.XLOOKUP(AG$5^$H38,$A$4:$A$1711^$B$4:$B$1711,$D$4:$D$1711,NA(),0,1)</f>
        <v>3420</v>
      </c>
      <c r="AH38" s="5" cm="1">
        <f t="array" ref="AH38">_xlfn.XLOOKUP(AH$5^$H38,$A$4:$A$1711^$B$4:$B$1711,$D$4:$D$1711,NA(),0,1)</f>
        <v>2851</v>
      </c>
      <c r="AI38" s="5" cm="1">
        <f t="array" ref="AI38">_xlfn.XLOOKUP(AI$5^$H38,$A$4:$A$1711^$B$4:$B$1711,$D$4:$D$1711,NA(),0,1)</f>
        <v>2579</v>
      </c>
      <c r="AJ38" s="5" cm="1">
        <f t="array" ref="AJ38">_xlfn.XLOOKUP(AJ$5^$H38,$A$4:$A$1711^$B$4:$B$1711,$D$4:$D$1711,NA(),0,1)</f>
        <v>3115</v>
      </c>
      <c r="AK38" s="5" cm="1">
        <f t="array" ref="AK38">_xlfn.XLOOKUP(AK$5^$H38,$A$4:$A$1711^$B$4:$B$1711,$D$4:$D$1711,NA(),0,1)</f>
        <v>3334</v>
      </c>
      <c r="AL38" s="5" cm="1">
        <f t="array" ref="AL38">_xlfn.XLOOKUP(AL$5^$H38,$A$4:$A$1711^$B$4:$B$1711,$D$4:$D$1711,NA(),0,1)</f>
        <v>3217</v>
      </c>
      <c r="AM38" s="5" cm="1">
        <f t="array" ref="AM38">_xlfn.XLOOKUP(AM$5^$H38,$A$4:$A$1711^$B$4:$B$1711,$D$4:$D$1711,NA(),0,1)</f>
        <v>3184</v>
      </c>
    </row>
    <row r="39" spans="1:39" x14ac:dyDescent="0.25">
      <c r="A39" s="5">
        <f t="shared" si="0"/>
        <v>1994</v>
      </c>
      <c r="B39" s="5">
        <f t="shared" si="1"/>
        <v>37</v>
      </c>
      <c r="C39" s="2">
        <v>34586</v>
      </c>
      <c r="D39" s="1">
        <v>2716</v>
      </c>
      <c r="H39" s="5">
        <f t="shared" si="3"/>
        <v>35</v>
      </c>
      <c r="I39" s="5" cm="1">
        <f t="array" ref="I39">_xlfn.XLOOKUP(I$5^$H39,$A$4:$A$1711^B37:B1744,D37:D1744,NA(),0,1)</f>
        <v>2232</v>
      </c>
      <c r="J39" s="5" cm="1">
        <f t="array" ref="J39">_xlfn.XLOOKUP(J$5^$H39,$A$4:$A$1711^$B$4:$B$1711,$D$4:$D$1711,NA(),0,1)</f>
        <v>2312</v>
      </c>
      <c r="K39" s="5" cm="1">
        <f t="array" ref="K39">_xlfn.XLOOKUP(K$5^$H39,$A$4:$A$1711^$B$4:$B$1711,$D$4:$D$1711,NA(),0,1)</f>
        <v>2685</v>
      </c>
      <c r="L39" s="5" cm="1">
        <f t="array" ref="L39">_xlfn.XLOOKUP(L$5^$H39,$A$4:$A$1711^$B$4:$B$1711,$D$4:$D$1711,NA(),0,1)</f>
        <v>2575</v>
      </c>
      <c r="M39" s="5" cm="1">
        <f t="array" ref="M39">_xlfn.XLOOKUP(M$5^$H39,$A$4:$A$1711^$B$4:$B$1711,$D$4:$D$1711,NA(),0,1)</f>
        <v>2171</v>
      </c>
      <c r="N39" s="5" cm="1">
        <f t="array" ref="N39">_xlfn.XLOOKUP(N$5^$H39,$A$4:$A$1711^$B$4:$B$1711,$D$4:$D$1711,NA(),0,1)</f>
        <v>2576</v>
      </c>
      <c r="O39" s="5" cm="1">
        <f t="array" ref="O39">_xlfn.XLOOKUP(O$5^$H39,$A$4:$A$1711^$B$4:$B$1711,$D$4:$D$1711,NA(),0,1)</f>
        <v>2781</v>
      </c>
      <c r="P39" s="5" cm="1">
        <f t="array" ref="P39">_xlfn.XLOOKUP(P$5^$H39,$A$4:$A$1711^$B$4:$B$1711,$D$4:$D$1711,NA(),0,1)</f>
        <v>2419</v>
      </c>
      <c r="Q39" s="5" cm="1">
        <f t="array" ref="Q39">_xlfn.XLOOKUP(Q$5^$H39,$A$4:$A$1711^$B$4:$B$1711,$D$4:$D$1711,NA(),0,1)</f>
        <v>2695</v>
      </c>
      <c r="R39" s="5" cm="1">
        <f t="array" ref="R39">_xlfn.XLOOKUP(R$5^$H39,$A$4:$A$1711^$B$4:$B$1711,$D$4:$D$1711,NA(),0,1)</f>
        <v>2633</v>
      </c>
      <c r="S39" s="5" cm="1">
        <f t="array" ref="S39">_xlfn.XLOOKUP(S$5^$H39,$A$4:$A$1711^$B$4:$B$1711,$D$4:$D$1711,NA(),0,1)</f>
        <v>2976</v>
      </c>
      <c r="T39" s="5" cm="1">
        <f t="array" ref="T39">_xlfn.XLOOKUP(T$5^$H39,$A$4:$A$1711^$B$4:$B$1711,$D$4:$D$1711,NA(),0,1)</f>
        <v>3005</v>
      </c>
      <c r="U39" s="5" cm="1">
        <f t="array" ref="U39">_xlfn.XLOOKUP(U$5^$H39,$A$4:$A$1711^$B$4:$B$1711,$D$4:$D$1711,NA(),0,1)</f>
        <v>2847</v>
      </c>
      <c r="V39" s="5" cm="1">
        <f t="array" ref="V39">_xlfn.XLOOKUP(V$5^$H39,$A$4:$A$1711^$B$4:$B$1711,$D$4:$D$1711,NA(),0,1)</f>
        <v>3323</v>
      </c>
      <c r="W39" s="5" cm="1">
        <f t="array" ref="W39">_xlfn.XLOOKUP(W$5^$H39,$A$4:$A$1711^$B$4:$B$1711,$D$4:$D$1711,NA(),0,1)</f>
        <v>3105</v>
      </c>
      <c r="X39" s="5" cm="1">
        <f t="array" ref="X39">_xlfn.XLOOKUP(X$5^$H39,$A$4:$A$1711^$B$4:$B$1711,$D$4:$D$1711,NA(),0,1)</f>
        <v>2960</v>
      </c>
      <c r="Y39" s="5" cm="1">
        <f t="array" ref="Y39">_xlfn.XLOOKUP(Y$5^$H39,$A$4:$A$1711^$B$4:$B$1711,$D$4:$D$1711,NA(),0,1)</f>
        <v>3402</v>
      </c>
      <c r="Z39" s="5" cm="1">
        <f t="array" ref="Z39">_xlfn.XLOOKUP(Z$5^$H39,$A$4:$A$1711^$B$4:$B$1711,$D$4:$D$1711,NA(),0,1)</f>
        <v>3189</v>
      </c>
      <c r="AA39" s="5" cm="1">
        <f t="array" ref="AA39">_xlfn.XLOOKUP(AA$5^$H39,$A$4:$A$1711^$B$4:$B$1711,$D$4:$D$1711,NA(),0,1)</f>
        <v>2709</v>
      </c>
      <c r="AB39" s="5" cm="1">
        <f t="array" ref="AB39">_xlfn.XLOOKUP(AB$5^$H39,$A$4:$A$1711^$B$4:$B$1711,$D$4:$D$1711,NA(),0,1)</f>
        <v>3190</v>
      </c>
      <c r="AC39" s="5" cm="1">
        <f t="array" ref="AC39">_xlfn.XLOOKUP(AC$5^$H39,$A$4:$A$1711^$B$4:$B$1711,$D$4:$D$1711,NA(),0,1)</f>
        <v>3401</v>
      </c>
      <c r="AD39" s="5" cm="1">
        <f t="array" ref="AD39">_xlfn.XLOOKUP(AD$5^$H39,$A$4:$A$1711^$B$4:$B$1711,$D$4:$D$1711,NA(),0,1)</f>
        <v>3220</v>
      </c>
      <c r="AE39" s="5" cm="1">
        <f t="array" ref="AE39">_xlfn.XLOOKUP(AE$5^$H39,$A$4:$A$1711^$B$4:$B$1711,$D$4:$D$1711,NA(),0,1)</f>
        <v>2567</v>
      </c>
      <c r="AF39" s="5" cm="1">
        <f t="array" ref="AF39">_xlfn.XLOOKUP(AF$5^$H39,$A$4:$A$1711^$B$4:$B$1711,$D$4:$D$1711,NA(),0,1)</f>
        <v>2941</v>
      </c>
      <c r="AG39" s="5" cm="1">
        <f t="array" ref="AG39">_xlfn.XLOOKUP(AG$5^$H39,$A$4:$A$1711^$B$4:$B$1711,$D$4:$D$1711,NA(),0,1)</f>
        <v>3455</v>
      </c>
      <c r="AH39" s="5" cm="1">
        <f t="array" ref="AH39">_xlfn.XLOOKUP(AH$5^$H39,$A$4:$A$1711^$B$4:$B$1711,$D$4:$D$1711,NA(),0,1)</f>
        <v>2871</v>
      </c>
      <c r="AI39" s="5" cm="1">
        <f t="array" ref="AI39">_xlfn.XLOOKUP(AI$5^$H39,$A$4:$A$1711^$B$4:$B$1711,$D$4:$D$1711,NA(),0,1)</f>
        <v>2640</v>
      </c>
      <c r="AJ39" s="5" cm="1">
        <f t="array" ref="AJ39">_xlfn.XLOOKUP(AJ$5^$H39,$A$4:$A$1711^$B$4:$B$1711,$D$4:$D$1711,NA(),0,1)</f>
        <v>3148</v>
      </c>
      <c r="AK39" s="5" cm="1">
        <f t="array" ref="AK39">_xlfn.XLOOKUP(AK$5^$H39,$A$4:$A$1711^$B$4:$B$1711,$D$4:$D$1711,NA(),0,1)</f>
        <v>3347</v>
      </c>
      <c r="AL39" s="5" cm="1">
        <f t="array" ref="AL39">_xlfn.XLOOKUP(AL$5^$H39,$A$4:$A$1711^$B$4:$B$1711,$D$4:$D$1711,NA(),0,1)</f>
        <v>3262</v>
      </c>
      <c r="AM39" s="5" cm="1">
        <f t="array" ref="AM39">_xlfn.XLOOKUP(AM$5^$H39,$A$4:$A$1711^$B$4:$B$1711,$D$4:$D$1711,NA(),0,1)</f>
        <v>3214</v>
      </c>
    </row>
    <row r="40" spans="1:39" x14ac:dyDescent="0.25">
      <c r="A40" s="5">
        <f t="shared" si="0"/>
        <v>1994</v>
      </c>
      <c r="B40" s="5">
        <f t="shared" si="1"/>
        <v>38</v>
      </c>
      <c r="C40" s="2">
        <v>34593</v>
      </c>
      <c r="D40" s="1">
        <v>2791</v>
      </c>
      <c r="H40" s="5">
        <f t="shared" si="3"/>
        <v>36</v>
      </c>
      <c r="I40" s="5" cm="1">
        <f t="array" ref="I40">_xlfn.XLOOKUP(I$5^$H40,$A$4:$A$1711^B38:B1745,D38:D1745,NA(),0,1)</f>
        <v>2326</v>
      </c>
      <c r="J40" s="5" cm="1">
        <f t="array" ref="J40">_xlfn.XLOOKUP(J$5^$H40,$A$4:$A$1711^$B$4:$B$1711,$D$4:$D$1711,NA(),0,1)</f>
        <v>2402</v>
      </c>
      <c r="K40" s="5" cm="1">
        <f t="array" ref="K40">_xlfn.XLOOKUP(K$5^$H40,$A$4:$A$1711^$B$4:$B$1711,$D$4:$D$1711,NA(),0,1)</f>
        <v>2721</v>
      </c>
      <c r="L40" s="5" cm="1">
        <f t="array" ref="L40">_xlfn.XLOOKUP(L$5^$H40,$A$4:$A$1711^$B$4:$B$1711,$D$4:$D$1711,NA(),0,1)</f>
        <v>2638</v>
      </c>
      <c r="M40" s="5" cm="1">
        <f t="array" ref="M40">_xlfn.XLOOKUP(M$5^$H40,$A$4:$A$1711^$B$4:$B$1711,$D$4:$D$1711,NA(),0,1)</f>
        <v>2205</v>
      </c>
      <c r="N40" s="5" cm="1">
        <f t="array" ref="N40">_xlfn.XLOOKUP(N$5^$H40,$A$4:$A$1711^$B$4:$B$1711,$D$4:$D$1711,NA(),0,1)</f>
        <v>2673</v>
      </c>
      <c r="O40" s="5" cm="1">
        <f t="array" ref="O40">_xlfn.XLOOKUP(O$5^$H40,$A$4:$A$1711^$B$4:$B$1711,$D$4:$D$1711,NA(),0,1)</f>
        <v>2855</v>
      </c>
      <c r="P40" s="5" cm="1">
        <f t="array" ref="P40">_xlfn.XLOOKUP(P$5^$H40,$A$4:$A$1711^$B$4:$B$1711,$D$4:$D$1711,NA(),0,1)</f>
        <v>2518</v>
      </c>
      <c r="Q40" s="5" cm="1">
        <f t="array" ref="Q40">_xlfn.XLOOKUP(Q$5^$H40,$A$4:$A$1711^$B$4:$B$1711,$D$4:$D$1711,NA(),0,1)</f>
        <v>2775</v>
      </c>
      <c r="R40" s="5" cm="1">
        <f t="array" ref="R40">_xlfn.XLOOKUP(R$5^$H40,$A$4:$A$1711^$B$4:$B$1711,$D$4:$D$1711,NA(),0,1)</f>
        <v>2669</v>
      </c>
      <c r="S40" s="5" cm="1">
        <f t="array" ref="S40">_xlfn.XLOOKUP(S$5^$H40,$A$4:$A$1711^$B$4:$B$1711,$D$4:$D$1711,NA(),0,1)</f>
        <v>3084</v>
      </c>
      <c r="T40" s="5" cm="1">
        <f t="array" ref="T40">_xlfn.XLOOKUP(T$5^$H40,$A$4:$A$1711^$B$4:$B$1711,$D$4:$D$1711,NA(),0,1)</f>
        <v>3069</v>
      </c>
      <c r="U40" s="5" cm="1">
        <f t="array" ref="U40">_xlfn.XLOOKUP(U$5^$H40,$A$4:$A$1711^$B$4:$B$1711,$D$4:$D$1711,NA(),0,1)</f>
        <v>2905</v>
      </c>
      <c r="V40" s="5" cm="1">
        <f t="array" ref="V40">_xlfn.XLOOKUP(V$5^$H40,$A$4:$A$1711^$B$4:$B$1711,$D$4:$D$1711,NA(),0,1)</f>
        <v>3392</v>
      </c>
      <c r="W40" s="5" cm="1">
        <f t="array" ref="W40">_xlfn.XLOOKUP(W$5^$H40,$A$4:$A$1711^$B$4:$B$1711,$D$4:$D$1711,NA(),0,1)</f>
        <v>3163</v>
      </c>
      <c r="X40" s="5" cm="1">
        <f t="array" ref="X40">_xlfn.XLOOKUP(X$5^$H40,$A$4:$A$1711^$B$4:$B$1711,$D$4:$D$1711,NA(),0,1)</f>
        <v>3025</v>
      </c>
      <c r="Y40" s="5" cm="1">
        <f t="array" ref="Y40">_xlfn.XLOOKUP(Y$5^$H40,$A$4:$A$1711^$B$4:$B$1711,$D$4:$D$1711,NA(),0,1)</f>
        <v>3429</v>
      </c>
      <c r="Z40" s="5" cm="1">
        <f t="array" ref="Z40">_xlfn.XLOOKUP(Z$5^$H40,$A$4:$A$1711^$B$4:$B$1711,$D$4:$D$1711,NA(),0,1)</f>
        <v>3253</v>
      </c>
      <c r="AA40" s="5" cm="1">
        <f t="array" ref="AA40">_xlfn.XLOOKUP(AA$5^$H40,$A$4:$A$1711^$B$4:$B$1711,$D$4:$D$1711,NA(),0,1)</f>
        <v>2801</v>
      </c>
      <c r="AB40" s="5" cm="1">
        <f t="array" ref="AB40">_xlfn.XLOOKUP(AB$5^$H40,$A$4:$A$1711^$B$4:$B$1711,$D$4:$D$1711,NA(),0,1)</f>
        <v>3262</v>
      </c>
      <c r="AC40" s="5" cm="1">
        <f t="array" ref="AC40">_xlfn.XLOOKUP(AC$5^$H40,$A$4:$A$1711^$B$4:$B$1711,$D$4:$D$1711,NA(),0,1)</f>
        <v>3437</v>
      </c>
      <c r="AD40" s="5" cm="1">
        <f t="array" ref="AD40">_xlfn.XLOOKUP(AD$5^$H40,$A$4:$A$1711^$B$4:$B$1711,$D$4:$D$1711,NA(),0,1)</f>
        <v>3311</v>
      </c>
      <c r="AE40" s="5" cm="1">
        <f t="array" ref="AE40">_xlfn.XLOOKUP(AE$5^$H40,$A$4:$A$1711^$B$4:$B$1711,$D$4:$D$1711,NA(),0,1)</f>
        <v>2636</v>
      </c>
      <c r="AF40" s="5" cm="1">
        <f t="array" ref="AF40">_xlfn.XLOOKUP(AF$5^$H40,$A$4:$A$1711^$B$4:$B$1711,$D$4:$D$1711,NA(),0,1)</f>
        <v>3019</v>
      </c>
      <c r="AG40" s="5" cm="1">
        <f t="array" ref="AG40">_xlfn.XLOOKUP(AG$5^$H40,$A$4:$A$1711^$B$4:$B$1711,$D$4:$D$1711,NA(),0,1)</f>
        <v>3525</v>
      </c>
      <c r="AH40" s="5" cm="1">
        <f t="array" ref="AH40">_xlfn.XLOOKUP(AH$5^$H40,$A$4:$A$1711^$B$4:$B$1711,$D$4:$D$1711,NA(),0,1)</f>
        <v>2923</v>
      </c>
      <c r="AI40" s="5" cm="1">
        <f t="array" ref="AI40">_xlfn.XLOOKUP(AI$5^$H40,$A$4:$A$1711^$B$4:$B$1711,$D$4:$D$1711,NA(),0,1)</f>
        <v>2694</v>
      </c>
      <c r="AJ40" s="5" cm="1">
        <f t="array" ref="AJ40">_xlfn.XLOOKUP(AJ$5^$H40,$A$4:$A$1711^$B$4:$B$1711,$D$4:$D$1711,NA(),0,1)</f>
        <v>3205</v>
      </c>
      <c r="AK40" s="5" cm="1">
        <f t="array" ref="AK40">_xlfn.XLOOKUP(AK$5^$H40,$A$4:$A$1711^$B$4:$B$1711,$D$4:$D$1711,NA(),0,1)</f>
        <v>3387</v>
      </c>
      <c r="AL40" s="5" cm="1">
        <f t="array" ref="AL40">_xlfn.XLOOKUP(AL$5^$H40,$A$4:$A$1711^$B$4:$B$1711,$D$4:$D$1711,NA(),0,1)</f>
        <v>3333</v>
      </c>
      <c r="AM40" s="5" cm="1">
        <f t="array" ref="AM40">_xlfn.XLOOKUP(AM$5^$H40,$A$4:$A$1711^$B$4:$B$1711,$D$4:$D$1711,NA(),0,1)</f>
        <v>3254</v>
      </c>
    </row>
    <row r="41" spans="1:39" x14ac:dyDescent="0.25">
      <c r="A41" s="5">
        <f t="shared" si="0"/>
        <v>1994</v>
      </c>
      <c r="B41" s="5">
        <f t="shared" si="1"/>
        <v>39</v>
      </c>
      <c r="C41" s="2">
        <v>34600</v>
      </c>
      <c r="D41" s="1">
        <v>2854</v>
      </c>
      <c r="H41" s="5">
        <f t="shared" si="3"/>
        <v>37</v>
      </c>
      <c r="I41" s="5" cm="1">
        <f t="array" ref="I41">_xlfn.XLOOKUP(I$5^$H41,$A$4:$A$1711^B39:B1746,D39:D1746,NA(),0,1)</f>
        <v>2406</v>
      </c>
      <c r="J41" s="5" cm="1">
        <f t="array" ref="J41">_xlfn.XLOOKUP(J$5^$H41,$A$4:$A$1711^$B$4:$B$1711,$D$4:$D$1711,NA(),0,1)</f>
        <v>2484</v>
      </c>
      <c r="K41" s="5" cm="1">
        <f t="array" ref="K41">_xlfn.XLOOKUP(K$5^$H41,$A$4:$A$1711^$B$4:$B$1711,$D$4:$D$1711,NA(),0,1)</f>
        <v>2795</v>
      </c>
      <c r="L41" s="5" cm="1">
        <f t="array" ref="L41">_xlfn.XLOOKUP(L$5^$H41,$A$4:$A$1711^$B$4:$B$1711,$D$4:$D$1711,NA(),0,1)</f>
        <v>2718</v>
      </c>
      <c r="M41" s="5" cm="1">
        <f t="array" ref="M41">_xlfn.XLOOKUP(M$5^$H41,$A$4:$A$1711^$B$4:$B$1711,$D$4:$D$1711,NA(),0,1)</f>
        <v>2274</v>
      </c>
      <c r="N41" s="5" cm="1">
        <f t="array" ref="N41">_xlfn.XLOOKUP(N$5^$H41,$A$4:$A$1711^$B$4:$B$1711,$D$4:$D$1711,NA(),0,1)</f>
        <v>2764</v>
      </c>
      <c r="O41" s="5" cm="1">
        <f t="array" ref="O41">_xlfn.XLOOKUP(O$5^$H41,$A$4:$A$1711^$B$4:$B$1711,$D$4:$D$1711,NA(),0,1)</f>
        <v>2924</v>
      </c>
      <c r="P41" s="5" cm="1">
        <f t="array" ref="P41">_xlfn.XLOOKUP(P$5^$H41,$A$4:$A$1711^$B$4:$B$1711,$D$4:$D$1711,NA(),0,1)</f>
        <v>2619</v>
      </c>
      <c r="Q41" s="5" cm="1">
        <f t="array" ref="Q41">_xlfn.XLOOKUP(Q$5^$H41,$A$4:$A$1711^$B$4:$B$1711,$D$4:$D$1711,NA(),0,1)</f>
        <v>2874</v>
      </c>
      <c r="R41" s="5" cm="1">
        <f t="array" ref="R41">_xlfn.XLOOKUP(R$5^$H41,$A$4:$A$1711^$B$4:$B$1711,$D$4:$D$1711,NA(),0,1)</f>
        <v>2758</v>
      </c>
      <c r="S41" s="5" cm="1">
        <f t="array" ref="S41">_xlfn.XLOOKUP(S$5^$H41,$A$4:$A$1711^$B$4:$B$1711,$D$4:$D$1711,NA(),0,1)</f>
        <v>3177</v>
      </c>
      <c r="T41" s="5" cm="1">
        <f t="array" ref="T41">_xlfn.XLOOKUP(T$5^$H41,$A$4:$A$1711^$B$4:$B$1711,$D$4:$D$1711,NA(),0,1)</f>
        <v>3132</v>
      </c>
      <c r="U41" s="5" cm="1">
        <f t="array" ref="U41">_xlfn.XLOOKUP(U$5^$H41,$A$4:$A$1711^$B$4:$B$1711,$D$4:$D$1711,NA(),0,1)</f>
        <v>2972</v>
      </c>
      <c r="V41" s="5" cm="1">
        <f t="array" ref="V41">_xlfn.XLOOKUP(V$5^$H41,$A$4:$A$1711^$B$4:$B$1711,$D$4:$D$1711,NA(),0,1)</f>
        <v>3458</v>
      </c>
      <c r="W41" s="5" cm="1">
        <f t="array" ref="W41">_xlfn.XLOOKUP(W$5^$H41,$A$4:$A$1711^$B$4:$B$1711,$D$4:$D$1711,NA(),0,1)</f>
        <v>3267</v>
      </c>
      <c r="X41" s="5" cm="1">
        <f t="array" ref="X41">_xlfn.XLOOKUP(X$5^$H41,$A$4:$A$1711^$B$4:$B$1711,$D$4:$D$1711,NA(),0,1)</f>
        <v>3110</v>
      </c>
      <c r="Y41" s="5" cm="1">
        <f t="array" ref="Y41">_xlfn.XLOOKUP(Y$5^$H41,$A$4:$A$1711^$B$4:$B$1711,$D$4:$D$1711,NA(),0,1)</f>
        <v>3496</v>
      </c>
      <c r="Z41" s="5" cm="1">
        <f t="array" ref="Z41">_xlfn.XLOOKUP(Z$5^$H41,$A$4:$A$1711^$B$4:$B$1711,$D$4:$D$1711,NA(),0,1)</f>
        <v>3299</v>
      </c>
      <c r="AA41" s="5" cm="1">
        <f t="array" ref="AA41">_xlfn.XLOOKUP(AA$5^$H41,$A$4:$A$1711^$B$4:$B$1711,$D$4:$D$1711,NA(),0,1)</f>
        <v>2890</v>
      </c>
      <c r="AB41" s="5" cm="1">
        <f t="array" ref="AB41">_xlfn.XLOOKUP(AB$5^$H41,$A$4:$A$1711^$B$4:$B$1711,$D$4:$D$1711,NA(),0,1)</f>
        <v>3336</v>
      </c>
      <c r="AC41" s="5" cm="1">
        <f t="array" ref="AC41">_xlfn.XLOOKUP(AC$5^$H41,$A$4:$A$1711^$B$4:$B$1711,$D$4:$D$1711,NA(),0,1)</f>
        <v>3499</v>
      </c>
      <c r="AD41" s="5" cm="1">
        <f t="array" ref="AD41">_xlfn.XLOOKUP(AD$5^$H41,$A$4:$A$1711^$B$4:$B$1711,$D$4:$D$1711,NA(),0,1)</f>
        <v>3408</v>
      </c>
      <c r="AE41" s="5" cm="1">
        <f t="array" ref="AE41">_xlfn.XLOOKUP(AE$5^$H41,$A$4:$A$1711^$B$4:$B$1711,$D$4:$D$1711,NA(),0,1)</f>
        <v>2722</v>
      </c>
      <c r="AF41" s="5" cm="1">
        <f t="array" ref="AF41">_xlfn.XLOOKUP(AF$5^$H41,$A$4:$A$1711^$B$4:$B$1711,$D$4:$D$1711,NA(),0,1)</f>
        <v>3103</v>
      </c>
      <c r="AG41" s="5" cm="1">
        <f t="array" ref="AG41">_xlfn.XLOOKUP(AG$5^$H41,$A$4:$A$1711^$B$4:$B$1711,$D$4:$D$1711,NA(),0,1)</f>
        <v>3614</v>
      </c>
      <c r="AH41" s="5" cm="1">
        <f t="array" ref="AH41">_xlfn.XLOOKUP(AH$5^$H41,$A$4:$A$1711^$B$4:$B$1711,$D$4:$D$1711,NA(),0,1)</f>
        <v>3006</v>
      </c>
      <c r="AI41" s="5" cm="1">
        <f t="array" ref="AI41">_xlfn.XLOOKUP(AI$5^$H41,$A$4:$A$1711^$B$4:$B$1711,$D$4:$D$1711,NA(),0,1)</f>
        <v>2771</v>
      </c>
      <c r="AJ41" s="5" cm="1">
        <f t="array" ref="AJ41">_xlfn.XLOOKUP(AJ$5^$H41,$A$4:$A$1711^$B$4:$B$1711,$D$4:$D$1711,NA(),0,1)</f>
        <v>3269</v>
      </c>
      <c r="AK41" s="5" cm="1">
        <f t="array" ref="AK41">_xlfn.XLOOKUP(AK$5^$H41,$A$4:$A$1711^$B$4:$B$1711,$D$4:$D$1711,NA(),0,1)</f>
        <v>3445</v>
      </c>
      <c r="AL41" s="5" cm="1">
        <f t="array" ref="AL41">_xlfn.XLOOKUP(AL$5^$H41,$A$4:$A$1711^$B$4:$B$1711,$D$4:$D$1711,NA(),0,1)</f>
        <v>3423</v>
      </c>
      <c r="AM41" s="5" cm="1">
        <f t="array" ref="AM41">_xlfn.XLOOKUP(AM$5^$H41,$A$4:$A$1711^$B$4:$B$1711,$D$4:$D$1711,NA(),0,1)</f>
        <v>3298</v>
      </c>
    </row>
    <row r="42" spans="1:39" x14ac:dyDescent="0.25">
      <c r="A42" s="5">
        <f t="shared" si="0"/>
        <v>1994</v>
      </c>
      <c r="B42" s="5">
        <f t="shared" si="1"/>
        <v>40</v>
      </c>
      <c r="C42" s="2">
        <v>34607</v>
      </c>
      <c r="D42" s="1">
        <v>2912</v>
      </c>
      <c r="H42" s="5">
        <f t="shared" si="3"/>
        <v>38</v>
      </c>
      <c r="I42" s="5" cm="1">
        <f t="array" ref="I42">_xlfn.XLOOKUP(I$5^$H42,$A$4:$A$1711^B40:B1747,D40:D1747,NA(),0,1)</f>
        <v>2490</v>
      </c>
      <c r="J42" s="5" cm="1">
        <f t="array" ref="J42">_xlfn.XLOOKUP(J$5^$H42,$A$4:$A$1711^$B$4:$B$1711,$D$4:$D$1711,NA(),0,1)</f>
        <v>2549</v>
      </c>
      <c r="K42" s="5" cm="1">
        <f t="array" ref="K42">_xlfn.XLOOKUP(K$5^$H42,$A$4:$A$1711^$B$4:$B$1711,$D$4:$D$1711,NA(),0,1)</f>
        <v>2850</v>
      </c>
      <c r="L42" s="5" cm="1">
        <f t="array" ref="L42">_xlfn.XLOOKUP(L$5^$H42,$A$4:$A$1711^$B$4:$B$1711,$D$4:$D$1711,NA(),0,1)</f>
        <v>2794</v>
      </c>
      <c r="M42" s="5" cm="1">
        <f t="array" ref="M42">_xlfn.XLOOKUP(M$5^$H42,$A$4:$A$1711^$B$4:$B$1711,$D$4:$D$1711,NA(),0,1)</f>
        <v>2338</v>
      </c>
      <c r="N42" s="5" cm="1">
        <f t="array" ref="N42">_xlfn.XLOOKUP(N$5^$H42,$A$4:$A$1711^$B$4:$B$1711,$D$4:$D$1711,NA(),0,1)</f>
        <v>2857</v>
      </c>
      <c r="O42" s="5" cm="1">
        <f t="array" ref="O42">_xlfn.XLOOKUP(O$5^$H42,$A$4:$A$1711^$B$4:$B$1711,$D$4:$D$1711,NA(),0,1)</f>
        <v>2990</v>
      </c>
      <c r="P42" s="5" cm="1">
        <f t="array" ref="P42">_xlfn.XLOOKUP(P$5^$H42,$A$4:$A$1711^$B$4:$B$1711,$D$4:$D$1711,NA(),0,1)</f>
        <v>2719</v>
      </c>
      <c r="Q42" s="5" cm="1">
        <f t="array" ref="Q42">_xlfn.XLOOKUP(Q$5^$H42,$A$4:$A$1711^$B$4:$B$1711,$D$4:$D$1711,NA(),0,1)</f>
        <v>2942</v>
      </c>
      <c r="R42" s="5" cm="1">
        <f t="array" ref="R42">_xlfn.XLOOKUP(R$5^$H42,$A$4:$A$1711^$B$4:$B$1711,$D$4:$D$1711,NA(),0,1)</f>
        <v>2832</v>
      </c>
      <c r="S42" s="5" cm="1">
        <f t="array" ref="S42">_xlfn.XLOOKUP(S$5^$H42,$A$4:$A$1711^$B$4:$B$1711,$D$4:$D$1711,NA(),0,1)</f>
        <v>3254</v>
      </c>
      <c r="T42" s="5" cm="1">
        <f t="array" ref="T42">_xlfn.XLOOKUP(T$5^$H42,$A$4:$A$1711^$B$4:$B$1711,$D$4:$D$1711,NA(),0,1)</f>
        <v>3206</v>
      </c>
      <c r="U42" s="5" cm="1">
        <f t="array" ref="U42">_xlfn.XLOOKUP(U$5^$H42,$A$4:$A$1711^$B$4:$B$1711,$D$4:$D$1711,NA(),0,1)</f>
        <v>3023</v>
      </c>
      <c r="V42" s="5" cm="1">
        <f t="array" ref="V42">_xlfn.XLOOKUP(V$5^$H42,$A$4:$A$1711^$B$4:$B$1711,$D$4:$D$1711,NA(),0,1)</f>
        <v>3525</v>
      </c>
      <c r="W42" s="5" cm="1">
        <f t="array" ref="W42">_xlfn.XLOOKUP(W$5^$H42,$A$4:$A$1711^$B$4:$B$1711,$D$4:$D$1711,NA(),0,1)</f>
        <v>3341</v>
      </c>
      <c r="X42" s="5" cm="1">
        <f t="array" ref="X42">_xlfn.XLOOKUP(X$5^$H42,$A$4:$A$1711^$B$4:$B$1711,$D$4:$D$1711,NA(),0,1)</f>
        <v>3201</v>
      </c>
      <c r="Y42" s="5" cm="1">
        <f t="array" ref="Y42">_xlfn.XLOOKUP(Y$5^$H42,$A$4:$A$1711^$B$4:$B$1711,$D$4:$D$1711,NA(),0,1)</f>
        <v>3576</v>
      </c>
      <c r="Z42" s="5" cm="1">
        <f t="array" ref="Z42">_xlfn.XLOOKUP(Z$5^$H42,$A$4:$A$1711^$B$4:$B$1711,$D$4:$D$1711,NA(),0,1)</f>
        <v>3385</v>
      </c>
      <c r="AA42" s="5" cm="1">
        <f t="array" ref="AA42">_xlfn.XLOOKUP(AA$5^$H42,$A$4:$A$1711^$B$4:$B$1711,$D$4:$D$1711,NA(),0,1)</f>
        <v>2988</v>
      </c>
      <c r="AB42" s="5" cm="1">
        <f t="array" ref="AB42">_xlfn.XLOOKUP(AB$5^$H42,$A$4:$A$1711^$B$4:$B$1711,$D$4:$D$1711,NA(),0,1)</f>
        <v>3441</v>
      </c>
      <c r="AC42" s="5" cm="1">
        <f t="array" ref="AC42">_xlfn.XLOOKUP(AC$5^$H42,$A$4:$A$1711^$B$4:$B$1711,$D$4:$D$1711,NA(),0,1)</f>
        <v>3551</v>
      </c>
      <c r="AD42" s="5" cm="1">
        <f t="array" ref="AD42">_xlfn.XLOOKUP(AD$5^$H42,$A$4:$A$1711^$B$4:$B$1711,$D$4:$D$1711,NA(),0,1)</f>
        <v>3466</v>
      </c>
      <c r="AE42" s="5" cm="1">
        <f t="array" ref="AE42">_xlfn.XLOOKUP(AE$5^$H42,$A$4:$A$1711^$B$4:$B$1711,$D$4:$D$1711,NA(),0,1)</f>
        <v>2768</v>
      </c>
      <c r="AF42" s="5" cm="1">
        <f t="array" ref="AF42">_xlfn.XLOOKUP(AF$5^$H42,$A$4:$A$1711^$B$4:$B$1711,$D$4:$D$1711,NA(),0,1)</f>
        <v>3205</v>
      </c>
      <c r="AG42" s="5" cm="1">
        <f t="array" ref="AG42">_xlfn.XLOOKUP(AG$5^$H42,$A$4:$A$1711^$B$4:$B$1711,$D$4:$D$1711,NA(),0,1)</f>
        <v>3680</v>
      </c>
      <c r="AH42" s="5" cm="1">
        <f t="array" ref="AH42">_xlfn.XLOOKUP(AH$5^$H42,$A$4:$A$1711^$B$4:$B$1711,$D$4:$D$1711,NA(),0,1)</f>
        <v>3082</v>
      </c>
      <c r="AI42" s="5" cm="1">
        <f t="array" ref="AI42">_xlfn.XLOOKUP(AI$5^$H42,$A$4:$A$1711^$B$4:$B$1711,$D$4:$D$1711,NA(),0,1)</f>
        <v>2874</v>
      </c>
      <c r="AJ42" s="5" cm="1">
        <f t="array" ref="AJ42">_xlfn.XLOOKUP(AJ$5^$H42,$A$4:$A$1711^$B$4:$B$1711,$D$4:$D$1711,NA(),0,1)</f>
        <v>3359</v>
      </c>
      <c r="AK42" s="5" cm="1">
        <f t="array" ref="AK42">_xlfn.XLOOKUP(AK$5^$H42,$A$4:$A$1711^$B$4:$B$1711,$D$4:$D$1711,NA(),0,1)</f>
        <v>3493</v>
      </c>
      <c r="AL42" s="5" cm="1">
        <f t="array" ref="AL42">_xlfn.XLOOKUP(AL$5^$H42,$A$4:$A$1711^$B$4:$B$1711,$D$4:$D$1711,NA(),0,1)</f>
        <v>3499</v>
      </c>
      <c r="AM42" s="5" cm="1">
        <f t="array" ref="AM42">_xlfn.XLOOKUP(AM$5^$H42,$A$4:$A$1711^$B$4:$B$1711,$D$4:$D$1711,NA(),0,1)</f>
        <v>3351</v>
      </c>
    </row>
    <row r="43" spans="1:39" x14ac:dyDescent="0.25">
      <c r="A43" s="5">
        <f t="shared" si="0"/>
        <v>1994</v>
      </c>
      <c r="B43" s="5">
        <f t="shared" si="1"/>
        <v>41</v>
      </c>
      <c r="C43" s="2">
        <v>34614</v>
      </c>
      <c r="D43" s="1">
        <v>2962</v>
      </c>
      <c r="H43" s="5">
        <f t="shared" si="3"/>
        <v>39</v>
      </c>
      <c r="I43" s="5" cm="1">
        <f t="array" ref="I43">_xlfn.XLOOKUP(I$5^$H43,$A$4:$A$1711^B41:B1748,D41:D1748,NA(),0,1)</f>
        <v>2568</v>
      </c>
      <c r="J43" s="5" cm="1">
        <f t="array" ref="J43">_xlfn.XLOOKUP(J$5^$H43,$A$4:$A$1711^$B$4:$B$1711,$D$4:$D$1711,NA(),0,1)</f>
        <v>2628</v>
      </c>
      <c r="K43" s="5" cm="1">
        <f t="array" ref="K43">_xlfn.XLOOKUP(K$5^$H43,$A$4:$A$1711^$B$4:$B$1711,$D$4:$D$1711,NA(),0,1)</f>
        <v>2896</v>
      </c>
      <c r="L43" s="5" cm="1">
        <f t="array" ref="L43">_xlfn.XLOOKUP(L$5^$H43,$A$4:$A$1711^$B$4:$B$1711,$D$4:$D$1711,NA(),0,1)</f>
        <v>2871</v>
      </c>
      <c r="M43" s="5" cm="1">
        <f t="array" ref="M43">_xlfn.XLOOKUP(M$5^$H43,$A$4:$A$1711^$B$4:$B$1711,$D$4:$D$1711,NA(),0,1)</f>
        <v>2412</v>
      </c>
      <c r="N43" s="5" cm="1">
        <f t="array" ref="N43">_xlfn.XLOOKUP(N$5^$H43,$A$4:$A$1711^$B$4:$B$1711,$D$4:$D$1711,NA(),0,1)</f>
        <v>2925</v>
      </c>
      <c r="O43" s="5" cm="1">
        <f t="array" ref="O43">_xlfn.XLOOKUP(O$5^$H43,$A$4:$A$1711^$B$4:$B$1711,$D$4:$D$1711,NA(),0,1)</f>
        <v>3038</v>
      </c>
      <c r="P43" s="5" cm="1">
        <f t="array" ref="P43">_xlfn.XLOOKUP(P$5^$H43,$A$4:$A$1711^$B$4:$B$1711,$D$4:$D$1711,NA(),0,1)</f>
        <v>2820</v>
      </c>
      <c r="Q43" s="5" cm="1">
        <f t="array" ref="Q43">_xlfn.XLOOKUP(Q$5^$H43,$A$4:$A$1711^$B$4:$B$1711,$D$4:$D$1711,NA(),0,1)</f>
        <v>3011</v>
      </c>
      <c r="R43" s="5" cm="1">
        <f t="array" ref="R43">_xlfn.XLOOKUP(R$5^$H43,$A$4:$A$1711^$B$4:$B$1711,$D$4:$D$1711,NA(),0,1)</f>
        <v>2885</v>
      </c>
      <c r="S43" s="5" cm="1">
        <f t="array" ref="S43">_xlfn.XLOOKUP(S$5^$H43,$A$4:$A$1711^$B$4:$B$1711,$D$4:$D$1711,NA(),0,1)</f>
        <v>3327</v>
      </c>
      <c r="T43" s="5" cm="1">
        <f t="array" ref="T43">_xlfn.XLOOKUP(T$5^$H43,$A$4:$A$1711^$B$4:$B$1711,$D$4:$D$1711,NA(),0,1)</f>
        <v>3263</v>
      </c>
      <c r="U43" s="5" cm="1">
        <f t="array" ref="U43">_xlfn.XLOOKUP(U$5^$H43,$A$4:$A$1711^$B$4:$B$1711,$D$4:$D$1711,NA(),0,1)</f>
        <v>3110</v>
      </c>
      <c r="V43" s="5" cm="1">
        <f t="array" ref="V43">_xlfn.XLOOKUP(V$5^$H43,$A$4:$A$1711^$B$4:$B$1711,$D$4:$D$1711,NA(),0,1)</f>
        <v>3589</v>
      </c>
      <c r="W43" s="5" cm="1">
        <f t="array" ref="W43">_xlfn.XLOOKUP(W$5^$H43,$A$4:$A$1711^$B$4:$B$1711,$D$4:$D$1711,NA(),0,1)</f>
        <v>3415</v>
      </c>
      <c r="X43" s="5" cm="1">
        <f t="array" ref="X43">_xlfn.XLOOKUP(X$5^$H43,$A$4:$A$1711^$B$4:$B$1711,$D$4:$D$1711,NA(),0,1)</f>
        <v>3311</v>
      </c>
      <c r="Y43" s="5" cm="1">
        <f t="array" ref="Y43">_xlfn.XLOOKUP(Y$5^$H43,$A$4:$A$1711^$B$4:$B$1711,$D$4:$D$1711,NA(),0,1)</f>
        <v>3654</v>
      </c>
      <c r="Z43" s="5" cm="1">
        <f t="array" ref="Z43">_xlfn.XLOOKUP(Z$5^$H43,$A$4:$A$1711^$B$4:$B$1711,$D$4:$D$1711,NA(),0,1)</f>
        <v>3487</v>
      </c>
      <c r="AA43" s="5" cm="1">
        <f t="array" ref="AA43">_xlfn.XLOOKUP(AA$5^$H43,$A$4:$A$1711^$B$4:$B$1711,$D$4:$D$1711,NA(),0,1)</f>
        <v>3099</v>
      </c>
      <c r="AB43" s="5" cm="1">
        <f t="array" ref="AB43">_xlfn.XLOOKUP(AB$5^$H43,$A$4:$A$1711^$B$4:$B$1711,$D$4:$D$1711,NA(),0,1)</f>
        <v>3537</v>
      </c>
      <c r="AC43" s="5" cm="1">
        <f t="array" ref="AC43">_xlfn.XLOOKUP(AC$5^$H43,$A$4:$A$1711^$B$4:$B$1711,$D$4:$D$1711,NA(),0,1)</f>
        <v>3600</v>
      </c>
      <c r="AD43" s="5" cm="1">
        <f t="array" ref="AD43">_xlfn.XLOOKUP(AD$5^$H43,$A$4:$A$1711^$B$4:$B$1711,$D$4:$D$1711,NA(),0,1)</f>
        <v>3508</v>
      </c>
      <c r="AE43" s="5" cm="1">
        <f t="array" ref="AE43">_xlfn.XLOOKUP(AE$5^$H43,$A$4:$A$1711^$B$4:$B$1711,$D$4:$D$1711,NA(),0,1)</f>
        <v>2866</v>
      </c>
      <c r="AF43" s="5" cm="1">
        <f t="array" ref="AF43">_xlfn.XLOOKUP(AF$5^$H43,$A$4:$A$1711^$B$4:$B$1711,$D$4:$D$1711,NA(),0,1)</f>
        <v>3317</v>
      </c>
      <c r="AG43" s="5" cm="1">
        <f t="array" ref="AG43">_xlfn.XLOOKUP(AG$5^$H43,$A$4:$A$1711^$B$4:$B$1711,$D$4:$D$1711,NA(),0,1)</f>
        <v>3756</v>
      </c>
      <c r="AH43" s="5" cm="1">
        <f t="array" ref="AH43">_xlfn.XLOOKUP(AH$5^$H43,$A$4:$A$1711^$B$4:$B$1711,$D$4:$D$1711,NA(),0,1)</f>
        <v>3170</v>
      </c>
      <c r="AI43" s="5" cm="1">
        <f t="array" ref="AI43">_xlfn.XLOOKUP(AI$5^$H43,$A$4:$A$1711^$B$4:$B$1711,$D$4:$D$1711,NA(),0,1)</f>
        <v>2977</v>
      </c>
      <c r="AJ43" s="5" cm="1">
        <f t="array" ref="AJ43">_xlfn.XLOOKUP(AJ$5^$H43,$A$4:$A$1711^$B$4:$B$1711,$D$4:$D$1711,NA(),0,1)</f>
        <v>3445</v>
      </c>
      <c r="AK43" s="5" cm="1">
        <f t="array" ref="AK43">_xlfn.XLOOKUP(AK$5^$H43,$A$4:$A$1711^$B$4:$B$1711,$D$4:$D$1711,NA(),0,1)</f>
        <v>3548</v>
      </c>
      <c r="AL43" s="5" cm="1">
        <f t="array" ref="AL43">_xlfn.XLOOKUP(AL$5^$H43,$A$4:$A$1711^$B$4:$B$1711,$D$4:$D$1711,NA(),0,1)</f>
        <v>3551</v>
      </c>
      <c r="AM43" s="5" cm="1">
        <f t="array" ref="AM43">_xlfn.XLOOKUP(AM$5^$H43,$A$4:$A$1711^$B$4:$B$1711,$D$4:$D$1711,NA(),0,1)</f>
        <v>3415</v>
      </c>
    </row>
    <row r="44" spans="1:39" x14ac:dyDescent="0.25">
      <c r="A44" s="5">
        <f t="shared" si="0"/>
        <v>1994</v>
      </c>
      <c r="B44" s="5">
        <f t="shared" si="1"/>
        <v>42</v>
      </c>
      <c r="C44" s="2">
        <v>34621</v>
      </c>
      <c r="D44" s="1">
        <v>2992</v>
      </c>
      <c r="H44" s="5">
        <f t="shared" si="3"/>
        <v>40</v>
      </c>
      <c r="I44" s="5" cm="1">
        <f t="array" ref="I44">_xlfn.XLOOKUP(I$5^$H44,$A$4:$A$1711^B42:B1749,D42:D1749,NA(),0,1)</f>
        <v>2659</v>
      </c>
      <c r="J44" s="5" cm="1">
        <f t="array" ref="J44">_xlfn.XLOOKUP(J$5^$H44,$A$4:$A$1711^$B$4:$B$1711,$D$4:$D$1711,NA(),0,1)</f>
        <v>2711</v>
      </c>
      <c r="K44" s="5" cm="1">
        <f t="array" ref="K44">_xlfn.XLOOKUP(K$5^$H44,$A$4:$A$1711^$B$4:$B$1711,$D$4:$D$1711,NA(),0,1)</f>
        <v>2943</v>
      </c>
      <c r="L44" s="5" cm="1">
        <f t="array" ref="L44">_xlfn.XLOOKUP(L$5^$H44,$A$4:$A$1711^$B$4:$B$1711,$D$4:$D$1711,NA(),0,1)</f>
        <v>2933</v>
      </c>
      <c r="M44" s="5" cm="1">
        <f t="array" ref="M44">_xlfn.XLOOKUP(M$5^$H44,$A$4:$A$1711^$B$4:$B$1711,$D$4:$D$1711,NA(),0,1)</f>
        <v>2486</v>
      </c>
      <c r="N44" s="5" cm="1">
        <f t="array" ref="N44">_xlfn.XLOOKUP(N$5^$H44,$A$4:$A$1711^$B$4:$B$1711,$D$4:$D$1711,NA(),0,1)</f>
        <v>2998</v>
      </c>
      <c r="O44" s="5" cm="1">
        <f t="array" ref="O44">_xlfn.XLOOKUP(O$5^$H44,$A$4:$A$1711^$B$4:$B$1711,$D$4:$D$1711,NA(),0,1)</f>
        <v>3080</v>
      </c>
      <c r="P44" s="5" cm="1">
        <f t="array" ref="P44">_xlfn.XLOOKUP(P$5^$H44,$A$4:$A$1711^$B$4:$B$1711,$D$4:$D$1711,NA(),0,1)</f>
        <v>2904</v>
      </c>
      <c r="Q44" s="5" cm="1">
        <f t="array" ref="Q44">_xlfn.XLOOKUP(Q$5^$H44,$A$4:$A$1711^$B$4:$B$1711,$D$4:$D$1711,NA(),0,1)</f>
        <v>3092</v>
      </c>
      <c r="R44" s="5" cm="1">
        <f t="array" ref="R44">_xlfn.XLOOKUP(R$5^$H44,$A$4:$A$1711^$B$4:$B$1711,$D$4:$D$1711,NA(),0,1)</f>
        <v>2929</v>
      </c>
      <c r="S44" s="5" cm="1">
        <f t="array" ref="S44">_xlfn.XLOOKUP(S$5^$H44,$A$4:$A$1711^$B$4:$B$1711,$D$4:$D$1711,NA(),0,1)</f>
        <v>3389</v>
      </c>
      <c r="T44" s="5" cm="1">
        <f t="array" ref="T44">_xlfn.XLOOKUP(T$5^$H44,$A$4:$A$1711^$B$4:$B$1711,$D$4:$D$1711,NA(),0,1)</f>
        <v>3336</v>
      </c>
      <c r="U44" s="5" cm="1">
        <f t="array" ref="U44">_xlfn.XLOOKUP(U$5^$H44,$A$4:$A$1711^$B$4:$B$1711,$D$4:$D$1711,NA(),0,1)</f>
        <v>3198</v>
      </c>
      <c r="V44" s="5" cm="1">
        <f t="array" ref="V44">_xlfn.XLOOKUP(V$5^$H44,$A$4:$A$1711^$B$4:$B$1711,$D$4:$D$1711,NA(),0,1)</f>
        <v>3658</v>
      </c>
      <c r="W44" s="5" cm="1">
        <f t="array" ref="W44">_xlfn.XLOOKUP(W$5^$H44,$A$4:$A$1711^$B$4:$B$1711,$D$4:$D$1711,NA(),0,1)</f>
        <v>3499</v>
      </c>
      <c r="X44" s="5" cm="1">
        <f t="array" ref="X44">_xlfn.XLOOKUP(X$5^$H44,$A$4:$A$1711^$B$4:$B$1711,$D$4:$D$1711,NA(),0,1)</f>
        <v>3408</v>
      </c>
      <c r="Y44" s="5" cm="1">
        <f t="array" ref="Y44">_xlfn.XLOOKUP(Y$5^$H44,$A$4:$A$1711^$B$4:$B$1711,$D$4:$D$1711,NA(),0,1)</f>
        <v>3726</v>
      </c>
      <c r="Z44" s="5" cm="1">
        <f t="array" ref="Z44">_xlfn.XLOOKUP(Z$5^$H44,$A$4:$A$1711^$B$4:$B$1711,$D$4:$D$1711,NA(),0,1)</f>
        <v>3577</v>
      </c>
      <c r="AA44" s="5" cm="1">
        <f t="array" ref="AA44">_xlfn.XLOOKUP(AA$5^$H44,$A$4:$A$1711^$B$4:$B$1711,$D$4:$D$1711,NA(),0,1)</f>
        <v>3205</v>
      </c>
      <c r="AB44" s="5" cm="1">
        <f t="array" ref="AB44">_xlfn.XLOOKUP(AB$5^$H44,$A$4:$A$1711^$B$4:$B$1711,$D$4:$D$1711,NA(),0,1)</f>
        <v>3634</v>
      </c>
      <c r="AC44" s="5" cm="1">
        <f t="array" ref="AC44">_xlfn.XLOOKUP(AC$5^$H44,$A$4:$A$1711^$B$4:$B$1711,$D$4:$D$1711,NA(),0,1)</f>
        <v>3680</v>
      </c>
      <c r="AD44" s="5" cm="1">
        <f t="array" ref="AD44">_xlfn.XLOOKUP(AD$5^$H44,$A$4:$A$1711^$B$4:$B$1711,$D$4:$D$1711,NA(),0,1)</f>
        <v>3595</v>
      </c>
      <c r="AE44" s="5" cm="1">
        <f t="array" ref="AE44">_xlfn.XLOOKUP(AE$5^$H44,$A$4:$A$1711^$B$4:$B$1711,$D$4:$D$1711,NA(),0,1)</f>
        <v>2956</v>
      </c>
      <c r="AF44" s="5" cm="1">
        <f t="array" ref="AF44">_xlfn.XLOOKUP(AF$5^$H44,$A$4:$A$1711^$B$4:$B$1711,$D$4:$D$1711,NA(),0,1)</f>
        <v>3415</v>
      </c>
      <c r="AG44" s="5" cm="1">
        <f t="array" ref="AG44">_xlfn.XLOOKUP(AG$5^$H44,$A$4:$A$1711^$B$4:$B$1711,$D$4:$D$1711,NA(),0,1)</f>
        <v>3831</v>
      </c>
      <c r="AH44" s="5" cm="1">
        <f t="array" ref="AH44">_xlfn.XLOOKUP(AH$5^$H44,$A$4:$A$1711^$B$4:$B$1711,$D$4:$D$1711,NA(),0,1)</f>
        <v>3288</v>
      </c>
      <c r="AI44" s="5" cm="1">
        <f t="array" ref="AI44">_xlfn.XLOOKUP(AI$5^$H44,$A$4:$A$1711^$B$4:$B$1711,$D$4:$D$1711,NA(),0,1)</f>
        <v>3106</v>
      </c>
      <c r="AJ44" s="5" cm="1">
        <f t="array" ref="AJ44">_xlfn.XLOOKUP(AJ$5^$H44,$A$4:$A$1711^$B$4:$B$1711,$D$4:$D$1711,NA(),0,1)</f>
        <v>3529</v>
      </c>
      <c r="AK44" s="5" cm="1">
        <f t="array" ref="AK44">_xlfn.XLOOKUP(AK$5^$H44,$A$4:$A$1711^$B$4:$B$1711,$D$4:$D$1711,NA(),0,1)</f>
        <v>3630</v>
      </c>
      <c r="AL44" s="5" cm="1">
        <f t="array" ref="AL44">_xlfn.XLOOKUP(AL$5^$H44,$A$4:$A$1711^$B$4:$B$1711,$D$4:$D$1711,NA(),0,1)</f>
        <v>3631</v>
      </c>
      <c r="AM44" s="5" t="e" cm="1">
        <f t="array" ref="AM44">_xlfn.XLOOKUP(AM$5^$H44,$A$4:$A$1711^$B$4:$B$1711,$D$4:$D$1711,NA(),0,1)</f>
        <v>#N/A</v>
      </c>
    </row>
    <row r="45" spans="1:39" x14ac:dyDescent="0.25">
      <c r="A45" s="5">
        <f t="shared" si="0"/>
        <v>1994</v>
      </c>
      <c r="B45" s="5">
        <f t="shared" si="1"/>
        <v>43</v>
      </c>
      <c r="C45" s="2">
        <v>34628</v>
      </c>
      <c r="D45" s="1">
        <v>3061</v>
      </c>
      <c r="H45" s="5">
        <f t="shared" si="3"/>
        <v>41</v>
      </c>
      <c r="I45" s="5" cm="1">
        <f t="array" ref="I45">_xlfn.XLOOKUP(I$5^$H45,$A$4:$A$1711^B43:B1750,D43:D1750,NA(),0,1)</f>
        <v>2697</v>
      </c>
      <c r="J45" s="5" cm="1">
        <f t="array" ref="J45">_xlfn.XLOOKUP(J$5^$H45,$A$4:$A$1711^$B$4:$B$1711,$D$4:$D$1711,NA(),0,1)</f>
        <v>2792</v>
      </c>
      <c r="K45" s="5" cm="1">
        <f t="array" ref="K45">_xlfn.XLOOKUP(K$5^$H45,$A$4:$A$1711^$B$4:$B$1711,$D$4:$D$1711,NA(),0,1)</f>
        <v>2999</v>
      </c>
      <c r="L45" s="5" cm="1">
        <f t="array" ref="L45">_xlfn.XLOOKUP(L$5^$H45,$A$4:$A$1711^$B$4:$B$1711,$D$4:$D$1711,NA(),0,1)</f>
        <v>2989</v>
      </c>
      <c r="M45" s="5" cm="1">
        <f t="array" ref="M45">_xlfn.XLOOKUP(M$5^$H45,$A$4:$A$1711^$B$4:$B$1711,$D$4:$D$1711,NA(),0,1)</f>
        <v>2547</v>
      </c>
      <c r="N45" s="5" cm="1">
        <f t="array" ref="N45">_xlfn.XLOOKUP(N$5^$H45,$A$4:$A$1711^$B$4:$B$1711,$D$4:$D$1711,NA(),0,1)</f>
        <v>3068</v>
      </c>
      <c r="O45" s="5" cm="1">
        <f t="array" ref="O45">_xlfn.XLOOKUP(O$5^$H45,$A$4:$A$1711^$B$4:$B$1711,$D$4:$D$1711,NA(),0,1)</f>
        <v>3128</v>
      </c>
      <c r="P45" s="5" cm="1">
        <f t="array" ref="P45">_xlfn.XLOOKUP(P$5^$H45,$A$4:$A$1711^$B$4:$B$1711,$D$4:$D$1711,NA(),0,1)</f>
        <v>2981</v>
      </c>
      <c r="Q45" s="5" cm="1">
        <f t="array" ref="Q45">_xlfn.XLOOKUP(Q$5^$H45,$A$4:$A$1711^$B$4:$B$1711,$D$4:$D$1711,NA(),0,1)</f>
        <v>3159</v>
      </c>
      <c r="R45" s="5" cm="1">
        <f t="array" ref="R45">_xlfn.XLOOKUP(R$5^$H45,$A$4:$A$1711^$B$4:$B$1711,$D$4:$D$1711,NA(),0,1)</f>
        <v>2987</v>
      </c>
      <c r="S45" s="5" cm="1">
        <f t="array" ref="S45">_xlfn.XLOOKUP(S$5^$H45,$A$4:$A$1711^$B$4:$B$1711,$D$4:$D$1711,NA(),0,1)</f>
        <v>3442</v>
      </c>
      <c r="T45" s="5" cm="1">
        <f t="array" ref="T45">_xlfn.XLOOKUP(T$5^$H45,$A$4:$A$1711^$B$4:$B$1711,$D$4:$D$1711,NA(),0,1)</f>
        <v>3375</v>
      </c>
      <c r="U45" s="5" cm="1">
        <f t="array" ref="U45">_xlfn.XLOOKUP(U$5^$H45,$A$4:$A$1711^$B$4:$B$1711,$D$4:$D$1711,NA(),0,1)</f>
        <v>3277</v>
      </c>
      <c r="V45" s="5" cm="1">
        <f t="array" ref="V45">_xlfn.XLOOKUP(V$5^$H45,$A$4:$A$1711^$B$4:$B$1711,$D$4:$D$1711,NA(),0,1)</f>
        <v>3716</v>
      </c>
      <c r="W45" s="5" cm="1">
        <f t="array" ref="W45">_xlfn.XLOOKUP(W$5^$H45,$A$4:$A$1711^$B$4:$B$1711,$D$4:$D$1711,NA(),0,1)</f>
        <v>3590</v>
      </c>
      <c r="X45" s="5" cm="1">
        <f t="array" ref="X45">_xlfn.XLOOKUP(X$5^$H45,$A$4:$A$1711^$B$4:$B$1711,$D$4:$D$1711,NA(),0,1)</f>
        <v>3521</v>
      </c>
      <c r="Y45" s="5" cm="1">
        <f t="array" ref="Y45">_xlfn.XLOOKUP(Y$5^$H45,$A$4:$A$1711^$B$4:$B$1711,$D$4:$D$1711,NA(),0,1)</f>
        <v>3776</v>
      </c>
      <c r="Z45" s="5" cm="1">
        <f t="array" ref="Z45">_xlfn.XLOOKUP(Z$5^$H45,$A$4:$A$1711^$B$4:$B$1711,$D$4:$D$1711,NA(),0,1)</f>
        <v>3655</v>
      </c>
      <c r="AA45" s="5" cm="1">
        <f t="array" ref="AA45">_xlfn.XLOOKUP(AA$5^$H45,$A$4:$A$1711^$B$4:$B$1711,$D$4:$D$1711,NA(),0,1)</f>
        <v>3298</v>
      </c>
      <c r="AB45" s="5" cm="1">
        <f t="array" ref="AB45">_xlfn.XLOOKUP(AB$5^$H45,$A$4:$A$1711^$B$4:$B$1711,$D$4:$D$1711,NA(),0,1)</f>
        <v>3731</v>
      </c>
      <c r="AC45" s="5" cm="1">
        <f t="array" ref="AC45">_xlfn.XLOOKUP(AC$5^$H45,$A$4:$A$1711^$B$4:$B$1711,$D$4:$D$1711,NA(),0,1)</f>
        <v>3759</v>
      </c>
      <c r="AD45" s="5" cm="1">
        <f t="array" ref="AD45">_xlfn.XLOOKUP(AD$5^$H45,$A$4:$A$1711^$B$4:$B$1711,$D$4:$D$1711,NA(),0,1)</f>
        <v>3645</v>
      </c>
      <c r="AE45" s="5" cm="1">
        <f t="array" ref="AE45">_xlfn.XLOOKUP(AE$5^$H45,$A$4:$A$1711^$B$4:$B$1711,$D$4:$D$1711,NA(),0,1)</f>
        <v>3037</v>
      </c>
      <c r="AF45" s="5" cm="1">
        <f t="array" ref="AF45">_xlfn.XLOOKUP(AF$5^$H45,$A$4:$A$1711^$B$4:$B$1711,$D$4:$D$1711,NA(),0,1)</f>
        <v>3519</v>
      </c>
      <c r="AG45" s="5" cm="1">
        <f t="array" ref="AG45">_xlfn.XLOOKUP(AG$5^$H45,$A$4:$A$1711^$B$4:$B$1711,$D$4:$D$1711,NA(),0,1)</f>
        <v>3877</v>
      </c>
      <c r="AH45" s="5" cm="1">
        <f t="array" ref="AH45">_xlfn.XLOOKUP(AH$5^$H45,$A$4:$A$1711^$B$4:$B$1711,$D$4:$D$1711,NA(),0,1)</f>
        <v>3369</v>
      </c>
      <c r="AI45" s="5" cm="1">
        <f t="array" ref="AI45">_xlfn.XLOOKUP(AI$5^$H45,$A$4:$A$1711^$B$4:$B$1711,$D$4:$D$1711,NA(),0,1)</f>
        <v>3231</v>
      </c>
      <c r="AJ45" s="5" cm="1">
        <f t="array" ref="AJ45">_xlfn.XLOOKUP(AJ$5^$H45,$A$4:$A$1711^$B$4:$B$1711,$D$4:$D$1711,NA(),0,1)</f>
        <v>3626</v>
      </c>
      <c r="AK45" s="5" cm="1">
        <f t="array" ref="AK45">_xlfn.XLOOKUP(AK$5^$H45,$A$4:$A$1711^$B$4:$B$1711,$D$4:$D$1711,NA(),0,1)</f>
        <v>3706</v>
      </c>
      <c r="AL45" s="5" cm="1">
        <f t="array" ref="AL45">_xlfn.XLOOKUP(AL$5^$H45,$A$4:$A$1711^$B$4:$B$1711,$D$4:$D$1711,NA(),0,1)</f>
        <v>3712</v>
      </c>
      <c r="AM45" s="5" t="e" cm="1">
        <f t="array" ref="AM45">_xlfn.XLOOKUP(AM$5^$H45,$A$4:$A$1711^$B$4:$B$1711,$D$4:$D$1711,NA(),0,1)</f>
        <v>#N/A</v>
      </c>
    </row>
    <row r="46" spans="1:39" x14ac:dyDescent="0.25">
      <c r="A46" s="5">
        <f t="shared" si="0"/>
        <v>1994</v>
      </c>
      <c r="B46" s="5">
        <f t="shared" si="1"/>
        <v>44</v>
      </c>
      <c r="C46" s="2">
        <v>34635</v>
      </c>
      <c r="D46" s="1">
        <v>3071</v>
      </c>
      <c r="H46" s="5">
        <f t="shared" si="3"/>
        <v>42</v>
      </c>
      <c r="I46" s="5" cm="1">
        <f t="array" ref="I46">_xlfn.XLOOKUP(I$5^$H46,$A$4:$A$1711^B44:B1751,D44:D1751,NA(),0,1)</f>
        <v>2755</v>
      </c>
      <c r="J46" s="5" cm="1">
        <f t="array" ref="J46">_xlfn.XLOOKUP(J$5^$H46,$A$4:$A$1711^$B$4:$B$1711,$D$4:$D$1711,NA(),0,1)</f>
        <v>2858</v>
      </c>
      <c r="K46" s="5" cm="1">
        <f t="array" ref="K46">_xlfn.XLOOKUP(K$5^$H46,$A$4:$A$1711^$B$4:$B$1711,$D$4:$D$1711,NA(),0,1)</f>
        <v>3072</v>
      </c>
      <c r="L46" s="5" cm="1">
        <f t="array" ref="L46">_xlfn.XLOOKUP(L$5^$H46,$A$4:$A$1711^$B$4:$B$1711,$D$4:$D$1711,NA(),0,1)</f>
        <v>3038</v>
      </c>
      <c r="M46" s="5" cm="1">
        <f t="array" ref="M46">_xlfn.XLOOKUP(M$5^$H46,$A$4:$A$1711^$B$4:$B$1711,$D$4:$D$1711,NA(),0,1)</f>
        <v>2574</v>
      </c>
      <c r="N46" s="5" cm="1">
        <f t="array" ref="N46">_xlfn.XLOOKUP(N$5^$H46,$A$4:$A$1711^$B$4:$B$1711,$D$4:$D$1711,NA(),0,1)</f>
        <v>3100</v>
      </c>
      <c r="O46" s="5" cm="1">
        <f t="array" ref="O46">_xlfn.XLOOKUP(O$5^$H46,$A$4:$A$1711^$B$4:$B$1711,$D$4:$D$1711,NA(),0,1)</f>
        <v>3161</v>
      </c>
      <c r="P46" s="5" cm="1">
        <f t="array" ref="P46">_xlfn.XLOOKUP(P$5^$H46,$A$4:$A$1711^$B$4:$B$1711,$D$4:$D$1711,NA(),0,1)</f>
        <v>3066</v>
      </c>
      <c r="Q46" s="5" cm="1">
        <f t="array" ref="Q46">_xlfn.XLOOKUP(Q$5^$H46,$A$4:$A$1711^$B$4:$B$1711,$D$4:$D$1711,NA(),0,1)</f>
        <v>3223</v>
      </c>
      <c r="R46" s="5" cm="1">
        <f t="array" ref="R46">_xlfn.XLOOKUP(R$5^$H46,$A$4:$A$1711^$B$4:$B$1711,$D$4:$D$1711,NA(),0,1)</f>
        <v>3062</v>
      </c>
      <c r="S46" s="5" cm="1">
        <f t="array" ref="S46">_xlfn.XLOOKUP(S$5^$H46,$A$4:$A$1711^$B$4:$B$1711,$D$4:$D$1711,NA(),0,1)</f>
        <v>3461</v>
      </c>
      <c r="T46" s="5" cm="1">
        <f t="array" ref="T46">_xlfn.XLOOKUP(T$5^$H46,$A$4:$A$1711^$B$4:$B$1711,$D$4:$D$1711,NA(),0,1)</f>
        <v>3443</v>
      </c>
      <c r="U46" s="5" cm="1">
        <f t="array" ref="U46">_xlfn.XLOOKUP(U$5^$H46,$A$4:$A$1711^$B$4:$B$1711,$D$4:$D$1711,NA(),0,1)</f>
        <v>3347</v>
      </c>
      <c r="V46" s="5" cm="1">
        <f t="array" ref="V46">_xlfn.XLOOKUP(V$5^$H46,$A$4:$A$1711^$B$4:$B$1711,$D$4:$D$1711,NA(),0,1)</f>
        <v>3734</v>
      </c>
      <c r="W46" s="5" cm="1">
        <f t="array" ref="W46">_xlfn.XLOOKUP(W$5^$H46,$A$4:$A$1711^$B$4:$B$1711,$D$4:$D$1711,NA(),0,1)</f>
        <v>3683</v>
      </c>
      <c r="X46" s="5" cm="1">
        <f t="array" ref="X46">_xlfn.XLOOKUP(X$5^$H46,$A$4:$A$1711^$B$4:$B$1711,$D$4:$D$1711,NA(),0,1)</f>
        <v>3624</v>
      </c>
      <c r="Y46" s="5" cm="1">
        <f t="array" ref="Y46">_xlfn.XLOOKUP(Y$5^$H46,$A$4:$A$1711^$B$4:$B$1711,$D$4:$D$1711,NA(),0,1)</f>
        <v>3843</v>
      </c>
      <c r="Z46" s="5" cm="1">
        <f t="array" ref="Z46">_xlfn.XLOOKUP(Z$5^$H46,$A$4:$A$1711^$B$4:$B$1711,$D$4:$D$1711,NA(),0,1)</f>
        <v>3741</v>
      </c>
      <c r="AA46" s="5" cm="1">
        <f t="array" ref="AA46">_xlfn.XLOOKUP(AA$5^$H46,$A$4:$A$1711^$B$4:$B$1711,$D$4:$D$1711,NA(),0,1)</f>
        <v>3393</v>
      </c>
      <c r="AB46" s="5" cm="1">
        <f t="array" ref="AB46">_xlfn.XLOOKUP(AB$5^$H46,$A$4:$A$1711^$B$4:$B$1711,$D$4:$D$1711,NA(),0,1)</f>
        <v>3813</v>
      </c>
      <c r="AC46" s="5" cm="1">
        <f t="array" ref="AC46">_xlfn.XLOOKUP(AC$5^$H46,$A$4:$A$1711^$B$4:$B$1711,$D$4:$D$1711,NA(),0,1)</f>
        <v>3836</v>
      </c>
      <c r="AD46" s="5" cm="1">
        <f t="array" ref="AD46">_xlfn.XLOOKUP(AD$5^$H46,$A$4:$A$1711^$B$4:$B$1711,$D$4:$D$1711,NA(),0,1)</f>
        <v>3710</v>
      </c>
      <c r="AE46" s="5" cm="1">
        <f t="array" ref="AE46">_xlfn.XLOOKUP(AE$5^$H46,$A$4:$A$1711^$B$4:$B$1711,$D$4:$D$1711,NA(),0,1)</f>
        <v>3095</v>
      </c>
      <c r="AF46" s="5" cm="1">
        <f t="array" ref="AF46">_xlfn.XLOOKUP(AF$5^$H46,$A$4:$A$1711^$B$4:$B$1711,$D$4:$D$1711,NA(),0,1)</f>
        <v>3606</v>
      </c>
      <c r="AG46" s="5" cm="1">
        <f t="array" ref="AG46">_xlfn.XLOOKUP(AG$5^$H46,$A$4:$A$1711^$B$4:$B$1711,$D$4:$D$1711,NA(),0,1)</f>
        <v>3926</v>
      </c>
      <c r="AH46" s="5" cm="1">
        <f t="array" ref="AH46">_xlfn.XLOOKUP(AH$5^$H46,$A$4:$A$1711^$B$4:$B$1711,$D$4:$D$1711,NA(),0,1)</f>
        <v>3461</v>
      </c>
      <c r="AI46" s="5" cm="1">
        <f t="array" ref="AI46">_xlfn.XLOOKUP(AI$5^$H46,$A$4:$A$1711^$B$4:$B$1711,$D$4:$D$1711,NA(),0,1)</f>
        <v>3342</v>
      </c>
      <c r="AJ46" s="5" cm="1">
        <f t="array" ref="AJ46">_xlfn.XLOOKUP(AJ$5^$H46,$A$4:$A$1711^$B$4:$B$1711,$D$4:$D$1711,NA(),0,1)</f>
        <v>3700</v>
      </c>
      <c r="AK46" s="5" cm="1">
        <f t="array" ref="AK46">_xlfn.XLOOKUP(AK$5^$H46,$A$4:$A$1711^$B$4:$B$1711,$D$4:$D$1711,NA(),0,1)</f>
        <v>3785</v>
      </c>
      <c r="AL46" s="5" cm="1">
        <f t="array" ref="AL46">_xlfn.XLOOKUP(AL$5^$H46,$A$4:$A$1711^$B$4:$B$1711,$D$4:$D$1711,NA(),0,1)</f>
        <v>3798</v>
      </c>
      <c r="AM46" s="5" t="e" cm="1">
        <f t="array" ref="AM46">_xlfn.XLOOKUP(AM$5^$H46,$A$4:$A$1711^$B$4:$B$1711,$D$4:$D$1711,NA(),0,1)</f>
        <v>#N/A</v>
      </c>
    </row>
    <row r="47" spans="1:39" x14ac:dyDescent="0.25">
      <c r="A47" s="5">
        <f t="shared" si="0"/>
        <v>1994</v>
      </c>
      <c r="B47" s="5">
        <f t="shared" si="1"/>
        <v>45</v>
      </c>
      <c r="C47" s="2">
        <v>34642</v>
      </c>
      <c r="D47" s="1">
        <v>3080</v>
      </c>
      <c r="H47" s="5">
        <f t="shared" si="3"/>
        <v>43</v>
      </c>
      <c r="I47" s="5" cm="1">
        <f t="array" ref="I47">_xlfn.XLOOKUP(I$5^$H47,$A$4:$A$1711^B45:B1752,D45:D1752,NA(),0,1)</f>
        <v>2788</v>
      </c>
      <c r="J47" s="5" cm="1">
        <f t="array" ref="J47">_xlfn.XLOOKUP(J$5^$H47,$A$4:$A$1711^$B$4:$B$1711,$D$4:$D$1711,NA(),0,1)</f>
        <v>2889</v>
      </c>
      <c r="K47" s="5" cm="1">
        <f t="array" ref="K47">_xlfn.XLOOKUP(K$5^$H47,$A$4:$A$1711^$B$4:$B$1711,$D$4:$D$1711,NA(),0,1)</f>
        <v>3121</v>
      </c>
      <c r="L47" s="5" cm="1">
        <f t="array" ref="L47">_xlfn.XLOOKUP(L$5^$H47,$A$4:$A$1711^$B$4:$B$1711,$D$4:$D$1711,NA(),0,1)</f>
        <v>3058</v>
      </c>
      <c r="M47" s="5" cm="1">
        <f t="array" ref="M47">_xlfn.XLOOKUP(M$5^$H47,$A$4:$A$1711^$B$4:$B$1711,$D$4:$D$1711,NA(),0,1)</f>
        <v>2644</v>
      </c>
      <c r="N47" s="5" cm="1">
        <f t="array" ref="N47">_xlfn.XLOOKUP(N$5^$H47,$A$4:$A$1711^$B$4:$B$1711,$D$4:$D$1711,NA(),0,1)</f>
        <v>3132</v>
      </c>
      <c r="O47" s="5" cm="1">
        <f t="array" ref="O47">_xlfn.XLOOKUP(O$5^$H47,$A$4:$A$1711^$B$4:$B$1711,$D$4:$D$1711,NA(),0,1)</f>
        <v>3172</v>
      </c>
      <c r="P47" s="5" cm="1">
        <f t="array" ref="P47">_xlfn.XLOOKUP(P$5^$H47,$A$4:$A$1711^$B$4:$B$1711,$D$4:$D$1711,NA(),0,1)</f>
        <v>3121</v>
      </c>
      <c r="Q47" s="5" cm="1">
        <f t="array" ref="Q47">_xlfn.XLOOKUP(Q$5^$H47,$A$4:$A$1711^$B$4:$B$1711,$D$4:$D$1711,NA(),0,1)</f>
        <v>3249</v>
      </c>
      <c r="R47" s="5" cm="1">
        <f t="array" ref="R47">_xlfn.XLOOKUP(R$5^$H47,$A$4:$A$1711^$B$4:$B$1711,$D$4:$D$1711,NA(),0,1)</f>
        <v>3139</v>
      </c>
      <c r="S47" s="5" cm="1">
        <f t="array" ref="S47">_xlfn.XLOOKUP(S$5^$H47,$A$4:$A$1711^$B$4:$B$1711,$D$4:$D$1711,NA(),0,1)</f>
        <v>3452</v>
      </c>
      <c r="T47" s="5" cm="1">
        <f t="array" ref="T47">_xlfn.XLOOKUP(T$5^$H47,$A$4:$A$1711^$B$4:$B$1711,$D$4:$D$1711,NA(),0,1)</f>
        <v>3509</v>
      </c>
      <c r="U47" s="5" cm="1">
        <f t="array" ref="U47">_xlfn.XLOOKUP(U$5^$H47,$A$4:$A$1711^$B$4:$B$1711,$D$4:$D$1711,NA(),0,1)</f>
        <v>3393</v>
      </c>
      <c r="V47" s="5" cm="1">
        <f t="array" ref="V47">_xlfn.XLOOKUP(V$5^$H47,$A$4:$A$1711^$B$4:$B$1711,$D$4:$D$1711,NA(),0,1)</f>
        <v>3759</v>
      </c>
      <c r="W47" s="5" cm="1">
        <f t="array" ref="W47">_xlfn.XLOOKUP(W$5^$H47,$A$4:$A$1711^$B$4:$B$1711,$D$4:$D$1711,NA(),0,1)</f>
        <v>3754</v>
      </c>
      <c r="X47" s="5" cm="1">
        <f t="array" ref="X47">_xlfn.XLOOKUP(X$5^$H47,$A$4:$A$1711^$B$4:$B$1711,$D$4:$D$1711,NA(),0,1)</f>
        <v>3717</v>
      </c>
      <c r="Y47" s="5" cm="1">
        <f t="array" ref="Y47">_xlfn.XLOOKUP(Y$5^$H47,$A$4:$A$1711^$B$4:$B$1711,$D$4:$D$1711,NA(),0,1)</f>
        <v>3907</v>
      </c>
      <c r="Z47" s="5" cm="1">
        <f t="array" ref="Z47">_xlfn.XLOOKUP(Z$5^$H47,$A$4:$A$1711^$B$4:$B$1711,$D$4:$D$1711,NA(),0,1)</f>
        <v>3779</v>
      </c>
      <c r="AA47" s="5" cm="1">
        <f t="array" ref="AA47">_xlfn.XLOOKUP(AA$5^$H47,$A$4:$A$1711^$B$4:$B$1711,$D$4:$D$1711,NA(),0,1)</f>
        <v>3480</v>
      </c>
      <c r="AB47" s="5" cm="1">
        <f t="array" ref="AB47">_xlfn.XLOOKUP(AB$5^$H47,$A$4:$A$1711^$B$4:$B$1711,$D$4:$D$1711,NA(),0,1)</f>
        <v>3875</v>
      </c>
      <c r="AC47" s="5" cm="1">
        <f t="array" ref="AC47">_xlfn.XLOOKUP(AC$5^$H47,$A$4:$A$1711^$B$4:$B$1711,$D$4:$D$1711,NA(),0,1)</f>
        <v>3909</v>
      </c>
      <c r="AD47" s="5" cm="1">
        <f t="array" ref="AD47">_xlfn.XLOOKUP(AD$5^$H47,$A$4:$A$1711^$B$4:$B$1711,$D$4:$D$1711,NA(),0,1)</f>
        <v>3775</v>
      </c>
      <c r="AE47" s="5" cm="1">
        <f t="array" ref="AE47">_xlfn.XLOOKUP(AE$5^$H47,$A$4:$A$1711^$B$4:$B$1711,$D$4:$D$1711,NA(),0,1)</f>
        <v>3143</v>
      </c>
      <c r="AF47" s="5" cm="1">
        <f t="array" ref="AF47">_xlfn.XLOOKUP(AF$5^$H47,$A$4:$A$1711^$B$4:$B$1711,$D$4:$D$1711,NA(),0,1)</f>
        <v>3695</v>
      </c>
      <c r="AG47" s="5" cm="1">
        <f t="array" ref="AG47">_xlfn.XLOOKUP(AG$5^$H47,$A$4:$A$1711^$B$4:$B$1711,$D$4:$D$1711,NA(),0,1)</f>
        <v>3955</v>
      </c>
      <c r="AH47" s="5" cm="1">
        <f t="array" ref="AH47">_xlfn.XLOOKUP(AH$5^$H47,$A$4:$A$1711^$B$4:$B$1711,$D$4:$D$1711,NA(),0,1)</f>
        <v>3548</v>
      </c>
      <c r="AI47" s="5" cm="1">
        <f t="array" ref="AI47">_xlfn.XLOOKUP(AI$5^$H47,$A$4:$A$1711^$B$4:$B$1711,$D$4:$D$1711,NA(),0,1)</f>
        <v>3394</v>
      </c>
      <c r="AJ47" s="5" cm="1">
        <f t="array" ref="AJ47">_xlfn.XLOOKUP(AJ$5^$H47,$A$4:$A$1711^$B$4:$B$1711,$D$4:$D$1711,NA(),0,1)</f>
        <v>3779</v>
      </c>
      <c r="AK47" s="5" cm="1">
        <f t="array" ref="AK47">_xlfn.XLOOKUP(AK$5^$H47,$A$4:$A$1711^$B$4:$B$1711,$D$4:$D$1711,NA(),0,1)</f>
        <v>3864</v>
      </c>
      <c r="AL47" s="5" cm="1">
        <f t="array" ref="AL47">_xlfn.XLOOKUP(AL$5^$H47,$A$4:$A$1711^$B$4:$B$1711,$D$4:$D$1711,NA(),0,1)</f>
        <v>3872</v>
      </c>
      <c r="AM47" s="5" t="e" cm="1">
        <f t="array" ref="AM47">_xlfn.XLOOKUP(AM$5^$H47,$A$4:$A$1711^$B$4:$B$1711,$D$4:$D$1711,NA(),0,1)</f>
        <v>#N/A</v>
      </c>
    </row>
    <row r="48" spans="1:39" x14ac:dyDescent="0.25">
      <c r="A48" s="5">
        <f t="shared" si="0"/>
        <v>1994</v>
      </c>
      <c r="B48" s="5">
        <f t="shared" si="1"/>
        <v>46</v>
      </c>
      <c r="C48" s="2">
        <v>34649</v>
      </c>
      <c r="D48" s="1">
        <v>3096</v>
      </c>
      <c r="H48" s="5">
        <f t="shared" si="3"/>
        <v>44</v>
      </c>
      <c r="I48" s="5" cm="1">
        <f t="array" ref="I48">_xlfn.XLOOKUP(I$5^$H48,$A$4:$A$1711^B46:B1753,D46:D1753,NA(),0,1)</f>
        <v>2816</v>
      </c>
      <c r="J48" s="5" cm="1">
        <f t="array" ref="J48">_xlfn.XLOOKUP(J$5^$H48,$A$4:$A$1711^$B$4:$B$1711,$D$4:$D$1711,NA(),0,1)</f>
        <v>2886</v>
      </c>
      <c r="K48" s="5" cm="1">
        <f t="array" ref="K48">_xlfn.XLOOKUP(K$5^$H48,$A$4:$A$1711^$B$4:$B$1711,$D$4:$D$1711,NA(),0,1)</f>
        <v>3185</v>
      </c>
      <c r="L48" s="5" cm="1">
        <f t="array" ref="L48">_xlfn.XLOOKUP(L$5^$H48,$A$4:$A$1711^$B$4:$B$1711,$D$4:$D$1711,NA(),0,1)</f>
        <v>3068</v>
      </c>
      <c r="M48" s="5" cm="1">
        <f t="array" ref="M48">_xlfn.XLOOKUP(M$5^$H48,$A$4:$A$1711^$B$4:$B$1711,$D$4:$D$1711,NA(),0,1)</f>
        <v>2713</v>
      </c>
      <c r="N48" s="5" cm="1">
        <f t="array" ref="N48">_xlfn.XLOOKUP(N$5^$H48,$A$4:$A$1711^$B$4:$B$1711,$D$4:$D$1711,NA(),0,1)</f>
        <v>3152</v>
      </c>
      <c r="O48" s="5" cm="1">
        <f t="array" ref="O48">_xlfn.XLOOKUP(O$5^$H48,$A$4:$A$1711^$B$4:$B$1711,$D$4:$D$1711,NA(),0,1)</f>
        <v>3145</v>
      </c>
      <c r="P48" s="5" cm="1">
        <f t="array" ref="P48">_xlfn.XLOOKUP(P$5^$H48,$A$4:$A$1711^$B$4:$B$1711,$D$4:$D$1711,NA(),0,1)</f>
        <v>3155</v>
      </c>
      <c r="Q48" s="5" cm="1">
        <f t="array" ref="Q48">_xlfn.XLOOKUP(Q$5^$H48,$A$4:$A$1711^$B$4:$B$1711,$D$4:$D$1711,NA(),0,1)</f>
        <v>3293</v>
      </c>
      <c r="R48" s="5" cm="1">
        <f t="array" ref="R48">_xlfn.XLOOKUP(R$5^$H48,$A$4:$A$1711^$B$4:$B$1711,$D$4:$D$1711,NA(),0,1)</f>
        <v>3168</v>
      </c>
      <c r="S48" s="5" cm="1">
        <f t="array" ref="S48">_xlfn.XLOOKUP(S$5^$H48,$A$4:$A$1711^$B$4:$B$1711,$D$4:$D$1711,NA(),0,1)</f>
        <v>3445</v>
      </c>
      <c r="T48" s="5" cm="1">
        <f t="array" ref="T48">_xlfn.XLOOKUP(T$5^$H48,$A$4:$A$1711^$B$4:$B$1711,$D$4:$D$1711,NA(),0,1)</f>
        <v>3545</v>
      </c>
      <c r="U48" s="5" cm="1">
        <f t="array" ref="U48">_xlfn.XLOOKUP(U$5^$H48,$A$4:$A$1711^$B$4:$B$1711,$D$4:$D$1711,NA(),0,1)</f>
        <v>3412</v>
      </c>
      <c r="V48" s="5" cm="1">
        <f t="array" ref="V48">_xlfn.XLOOKUP(V$5^$H48,$A$4:$A$1711^$B$4:$B$1711,$D$4:$D$1711,NA(),0,1)</f>
        <v>3788</v>
      </c>
      <c r="W48" s="5" cm="1">
        <f t="array" ref="W48">_xlfn.XLOOKUP(W$5^$H48,$A$4:$A$1711^$B$4:$B$1711,$D$4:$D$1711,NA(),0,1)</f>
        <v>3821</v>
      </c>
      <c r="X48" s="5" cm="1">
        <f t="array" ref="X48">_xlfn.XLOOKUP(X$5^$H48,$A$4:$A$1711^$B$4:$B$1711,$D$4:$D$1711,NA(),0,1)</f>
        <v>3793</v>
      </c>
      <c r="Y48" s="5" cm="1">
        <f t="array" ref="Y48">_xlfn.XLOOKUP(Y$5^$H48,$A$4:$A$1711^$B$4:$B$1711,$D$4:$D$1711,NA(),0,1)</f>
        <v>3928</v>
      </c>
      <c r="Z48" s="5" cm="1">
        <f t="array" ref="Z48">_xlfn.XLOOKUP(Z$5^$H48,$A$4:$A$1711^$B$4:$B$1711,$D$4:$D$1711,NA(),0,1)</f>
        <v>3816</v>
      </c>
      <c r="AA48" s="5" cm="1">
        <f t="array" ref="AA48">_xlfn.XLOOKUP(AA$5^$H48,$A$4:$A$1711^$B$4:$B$1711,$D$4:$D$1711,NA(),0,1)</f>
        <v>3571</v>
      </c>
      <c r="AB48" s="5" cm="1">
        <f t="array" ref="AB48">_xlfn.XLOOKUP(AB$5^$H48,$A$4:$A$1711^$B$4:$B$1711,$D$4:$D$1711,NA(),0,1)</f>
        <v>3931</v>
      </c>
      <c r="AC48" s="5" cm="1">
        <f t="array" ref="AC48">_xlfn.XLOOKUP(AC$5^$H48,$A$4:$A$1711^$B$4:$B$1711,$D$4:$D$1711,NA(),0,1)</f>
        <v>3963</v>
      </c>
      <c r="AD48" s="5" cm="1">
        <f t="array" ref="AD48">_xlfn.XLOOKUP(AD$5^$H48,$A$4:$A$1711^$B$4:$B$1711,$D$4:$D$1711,NA(),0,1)</f>
        <v>3790</v>
      </c>
      <c r="AE48" s="5" cm="1">
        <f t="array" ref="AE48">_xlfn.XLOOKUP(AE$5^$H48,$A$4:$A$1711^$B$4:$B$1711,$D$4:$D$1711,NA(),0,1)</f>
        <v>3208</v>
      </c>
      <c r="AF48" s="5" cm="1">
        <f t="array" ref="AF48">_xlfn.XLOOKUP(AF$5^$H48,$A$4:$A$1711^$B$4:$B$1711,$D$4:$D$1711,NA(),0,1)</f>
        <v>3729</v>
      </c>
      <c r="AG48" s="5" cm="1">
        <f t="array" ref="AG48">_xlfn.XLOOKUP(AG$5^$H48,$A$4:$A$1711^$B$4:$B$1711,$D$4:$D$1711,NA(),0,1)</f>
        <v>3919</v>
      </c>
      <c r="AH48" s="5" cm="1">
        <f t="array" ref="AH48">_xlfn.XLOOKUP(AH$5^$H48,$A$4:$A$1711^$B$4:$B$1711,$D$4:$D$1711,NA(),0,1)</f>
        <v>3611</v>
      </c>
      <c r="AI48" s="5" cm="1">
        <f t="array" ref="AI48">_xlfn.XLOOKUP(AI$5^$H48,$A$4:$A$1711^$B$4:$B$1711,$D$4:$D$1711,NA(),0,1)</f>
        <v>3501</v>
      </c>
      <c r="AJ48" s="5" cm="1">
        <f t="array" ref="AJ48">_xlfn.XLOOKUP(AJ$5^$H48,$A$4:$A$1711^$B$4:$B$1711,$D$4:$D$1711,NA(),0,1)</f>
        <v>3773</v>
      </c>
      <c r="AK48" s="5" cm="1">
        <f t="array" ref="AK48">_xlfn.XLOOKUP(AK$5^$H48,$A$4:$A$1711^$B$4:$B$1711,$D$4:$D$1711,NA(),0,1)</f>
        <v>3931</v>
      </c>
      <c r="AL48" s="5" cm="1">
        <f t="array" ref="AL48">_xlfn.XLOOKUP(AL$5^$H48,$A$4:$A$1711^$B$4:$B$1711,$D$4:$D$1711,NA(),0,1)</f>
        <v>3905</v>
      </c>
      <c r="AM48" s="5" t="e" cm="1">
        <f t="array" ref="AM48">_xlfn.XLOOKUP(AM$5^$H48,$A$4:$A$1711^$B$4:$B$1711,$D$4:$D$1711,NA(),0,1)</f>
        <v>#N/A</v>
      </c>
    </row>
    <row r="49" spans="1:39" x14ac:dyDescent="0.25">
      <c r="A49" s="5">
        <f t="shared" si="0"/>
        <v>1994</v>
      </c>
      <c r="B49" s="5">
        <f t="shared" si="1"/>
        <v>47</v>
      </c>
      <c r="C49" s="2">
        <v>34656</v>
      </c>
      <c r="D49" s="1">
        <v>3086</v>
      </c>
      <c r="H49" s="5">
        <f t="shared" si="3"/>
        <v>45</v>
      </c>
      <c r="I49" s="5" cm="1">
        <f t="array" ref="I49">_xlfn.XLOOKUP(I$5^$H49,$A$4:$A$1711^B47:B1754,D47:D1754,NA(),0,1)</f>
        <v>2802</v>
      </c>
      <c r="J49" s="5" cm="1">
        <f t="array" ref="J49">_xlfn.XLOOKUP(J$5^$H49,$A$4:$A$1711^$B$4:$B$1711,$D$4:$D$1711,NA(),0,1)</f>
        <v>2903</v>
      </c>
      <c r="K49" s="5" cm="1">
        <f t="array" ref="K49">_xlfn.XLOOKUP(K$5^$H49,$A$4:$A$1711^$B$4:$B$1711,$D$4:$D$1711,NA(),0,1)</f>
        <v>3213</v>
      </c>
      <c r="L49" s="5" cm="1">
        <f t="array" ref="L49">_xlfn.XLOOKUP(L$5^$H49,$A$4:$A$1711^$B$4:$B$1711,$D$4:$D$1711,NA(),0,1)</f>
        <v>3088</v>
      </c>
      <c r="M49" s="5" cm="1">
        <f t="array" ref="M49">_xlfn.XLOOKUP(M$5^$H49,$A$4:$A$1711^$B$4:$B$1711,$D$4:$D$1711,NA(),0,1)</f>
        <v>2748</v>
      </c>
      <c r="N49" s="5" cm="1">
        <f t="array" ref="N49">_xlfn.XLOOKUP(N$5^$H49,$A$4:$A$1711^$B$4:$B$1711,$D$4:$D$1711,NA(),0,1)</f>
        <v>3187</v>
      </c>
      <c r="O49" s="5" cm="1">
        <f t="array" ref="O49">_xlfn.XLOOKUP(O$5^$H49,$A$4:$A$1711^$B$4:$B$1711,$D$4:$D$1711,NA(),0,1)</f>
        <v>3097</v>
      </c>
      <c r="P49" s="5" cm="1">
        <f t="array" ref="P49">_xlfn.XLOOKUP(P$5^$H49,$A$4:$A$1711^$B$4:$B$1711,$D$4:$D$1711,NA(),0,1)</f>
        <v>3187</v>
      </c>
      <c r="Q49" s="5" cm="1">
        <f t="array" ref="Q49">_xlfn.XLOOKUP(Q$5^$H49,$A$4:$A$1711^$B$4:$B$1711,$D$4:$D$1711,NA(),0,1)</f>
        <v>3327</v>
      </c>
      <c r="R49" s="5" cm="1">
        <f t="array" ref="R49">_xlfn.XLOOKUP(R$5^$H49,$A$4:$A$1711^$B$4:$B$1711,$D$4:$D$1711,NA(),0,1)</f>
        <v>3229</v>
      </c>
      <c r="S49" s="5" cm="1">
        <f t="array" ref="S49">_xlfn.XLOOKUP(S$5^$H49,$A$4:$A$1711^$B$4:$B$1711,$D$4:$D$1711,NA(),0,1)</f>
        <v>3450</v>
      </c>
      <c r="T49" s="5" cm="1">
        <f t="array" ref="T49">_xlfn.XLOOKUP(T$5^$H49,$A$4:$A$1711^$B$4:$B$1711,$D$4:$D$1711,NA(),0,1)</f>
        <v>3536</v>
      </c>
      <c r="U49" s="5" cm="1">
        <f t="array" ref="U49">_xlfn.XLOOKUP(U$5^$H49,$A$4:$A$1711^$B$4:$B$1711,$D$4:$D$1711,NA(),0,1)</f>
        <v>3472</v>
      </c>
      <c r="V49" s="5" cm="1">
        <f t="array" ref="V49">_xlfn.XLOOKUP(V$5^$H49,$A$4:$A$1711^$B$4:$B$1711,$D$4:$D$1711,NA(),0,1)</f>
        <v>3813</v>
      </c>
      <c r="W49" s="5" cm="1">
        <f t="array" ref="W49">_xlfn.XLOOKUP(W$5^$H49,$A$4:$A$1711^$B$4:$B$1711,$D$4:$D$1711,NA(),0,1)</f>
        <v>3840</v>
      </c>
      <c r="X49" s="5" cm="1">
        <f t="array" ref="X49">_xlfn.XLOOKUP(X$5^$H49,$A$4:$A$1711^$B$4:$B$1711,$D$4:$D$1711,NA(),0,1)</f>
        <v>3830</v>
      </c>
      <c r="Y49" s="5" cm="1">
        <f t="array" ref="Y49">_xlfn.XLOOKUP(Y$5^$H49,$A$4:$A$1711^$B$4:$B$1711,$D$4:$D$1711,NA(),0,1)</f>
        <v>3910</v>
      </c>
      <c r="Z49" s="5" cm="1">
        <f t="array" ref="Z49">_xlfn.XLOOKUP(Z$5^$H49,$A$4:$A$1711^$B$4:$B$1711,$D$4:$D$1711,NA(),0,1)</f>
        <v>3834</v>
      </c>
      <c r="AA49" s="5" cm="1">
        <f t="array" ref="AA49">_xlfn.XLOOKUP(AA$5^$H49,$A$4:$A$1711^$B$4:$B$1711,$D$4:$D$1711,NA(),0,1)</f>
        <v>3611</v>
      </c>
      <c r="AB49" s="5" cm="1">
        <f t="array" ref="AB49">_xlfn.XLOOKUP(AB$5^$H49,$A$4:$A$1711^$B$4:$B$1711,$D$4:$D$1711,NA(),0,1)</f>
        <v>3985</v>
      </c>
      <c r="AC49" s="5" cm="1">
        <f t="array" ref="AC49">_xlfn.XLOOKUP(AC$5^$H49,$A$4:$A$1711^$B$4:$B$1711,$D$4:$D$1711,NA(),0,1)</f>
        <v>4017</v>
      </c>
      <c r="AD49" s="5" cm="1">
        <f t="array" ref="AD49">_xlfn.XLOOKUP(AD$5^$H49,$A$4:$A$1711^$B$4:$B$1711,$D$4:$D$1711,NA(),0,1)</f>
        <v>3772</v>
      </c>
      <c r="AE49" s="5" cm="1">
        <f t="array" ref="AE49">_xlfn.XLOOKUP(AE$5^$H49,$A$4:$A$1711^$B$4:$B$1711,$D$4:$D$1711,NA(),0,1)</f>
        <v>3247</v>
      </c>
      <c r="AF49" s="5" cm="1">
        <f t="array" ref="AF49">_xlfn.XLOOKUP(AF$5^$H49,$A$4:$A$1711^$B$4:$B$1711,$D$4:$D$1711,NA(),0,1)</f>
        <v>3732</v>
      </c>
      <c r="AG49" s="5" cm="1">
        <f t="array" ref="AG49">_xlfn.XLOOKUP(AG$5^$H49,$A$4:$A$1711^$B$4:$B$1711,$D$4:$D$1711,NA(),0,1)</f>
        <v>3927</v>
      </c>
      <c r="AH49" s="5" cm="1">
        <f t="array" ref="AH49">_xlfn.XLOOKUP(AH$5^$H49,$A$4:$A$1711^$B$4:$B$1711,$D$4:$D$1711,NA(),0,1)</f>
        <v>3618</v>
      </c>
      <c r="AI49" s="5" cm="1">
        <f t="array" ref="AI49">_xlfn.XLOOKUP(AI$5^$H49,$A$4:$A$1711^$B$4:$B$1711,$D$4:$D$1711,NA(),0,1)</f>
        <v>3580</v>
      </c>
      <c r="AJ49" s="5" cm="1">
        <f t="array" ref="AJ49">_xlfn.XLOOKUP(AJ$5^$H49,$A$4:$A$1711^$B$4:$B$1711,$D$4:$D$1711,NA(),0,1)</f>
        <v>3833</v>
      </c>
      <c r="AK49" s="5" cm="1">
        <f t="array" ref="AK49">_xlfn.XLOOKUP(AK$5^$H49,$A$4:$A$1711^$B$4:$B$1711,$D$4:$D$1711,NA(),0,1)</f>
        <v>3972</v>
      </c>
      <c r="AL49" s="5" cm="1">
        <f t="array" ref="AL49">_xlfn.XLOOKUP(AL$5^$H49,$A$4:$A$1711^$B$4:$B$1711,$D$4:$D$1711,NA(),0,1)</f>
        <v>3950</v>
      </c>
      <c r="AM49" s="5" t="e" cm="1">
        <f t="array" ref="AM49">_xlfn.XLOOKUP(AM$5^$H49,$A$4:$A$1711^$B$4:$B$1711,$D$4:$D$1711,NA(),0,1)</f>
        <v>#N/A</v>
      </c>
    </row>
    <row r="50" spans="1:39" x14ac:dyDescent="0.25">
      <c r="A50" s="5">
        <f t="shared" si="0"/>
        <v>1994</v>
      </c>
      <c r="B50" s="5">
        <f t="shared" si="1"/>
        <v>48</v>
      </c>
      <c r="C50" s="2">
        <v>34663</v>
      </c>
      <c r="D50" s="1">
        <v>3034</v>
      </c>
      <c r="H50" s="5">
        <f t="shared" si="3"/>
        <v>46</v>
      </c>
      <c r="I50" s="5" cm="1">
        <f t="array" ref="I50">_xlfn.XLOOKUP(I$5^$H50,$A$4:$A$1711^B48:B1755,D48:D1755,NA(),0,1)</f>
        <v>2721</v>
      </c>
      <c r="J50" s="5" cm="1">
        <f t="array" ref="J50">_xlfn.XLOOKUP(J$5^$H50,$A$4:$A$1711^$B$4:$B$1711,$D$4:$D$1711,NA(),0,1)</f>
        <v>2847</v>
      </c>
      <c r="K50" s="5" cm="1">
        <f t="array" ref="K50">_xlfn.XLOOKUP(K$5^$H50,$A$4:$A$1711^$B$4:$B$1711,$D$4:$D$1711,NA(),0,1)</f>
        <v>3163</v>
      </c>
      <c r="L50" s="5" cm="1">
        <f t="array" ref="L50">_xlfn.XLOOKUP(L$5^$H50,$A$4:$A$1711^$B$4:$B$1711,$D$4:$D$1711,NA(),0,1)</f>
        <v>3105</v>
      </c>
      <c r="M50" s="5" cm="1">
        <f t="array" ref="M50">_xlfn.XLOOKUP(M$5^$H50,$A$4:$A$1711^$B$4:$B$1711,$D$4:$D$1711,NA(),0,1)</f>
        <v>2744</v>
      </c>
      <c r="N50" s="5" cm="1">
        <f t="array" ref="N50">_xlfn.XLOOKUP(N$5^$H50,$A$4:$A$1711^$B$4:$B$1711,$D$4:$D$1711,NA(),0,1)</f>
        <v>3220</v>
      </c>
      <c r="O50" s="5" cm="1">
        <f t="array" ref="O50">_xlfn.XLOOKUP(O$5^$H50,$A$4:$A$1711^$B$4:$B$1711,$D$4:$D$1711,NA(),0,1)</f>
        <v>3096</v>
      </c>
      <c r="P50" s="5" cm="1">
        <f t="array" ref="P50">_xlfn.XLOOKUP(P$5^$H50,$A$4:$A$1711^$B$4:$B$1711,$D$4:$D$1711,NA(),0,1)</f>
        <v>3155</v>
      </c>
      <c r="Q50" s="5" cm="1">
        <f t="array" ref="Q50">_xlfn.XLOOKUP(Q$5^$H50,$A$4:$A$1711^$B$4:$B$1711,$D$4:$D$1711,NA(),0,1)</f>
        <v>3321</v>
      </c>
      <c r="R50" s="5" cm="1">
        <f t="array" ref="R50">_xlfn.XLOOKUP(R$5^$H50,$A$4:$A$1711^$B$4:$B$1711,$D$4:$D$1711,NA(),0,1)</f>
        <v>3282</v>
      </c>
      <c r="S50" s="5" cm="1">
        <f t="array" ref="S50">_xlfn.XLOOKUP(S$5^$H50,$A$4:$A$1711^$B$4:$B$1711,$D$4:$D$1711,NA(),0,1)</f>
        <v>3449</v>
      </c>
      <c r="T50" s="5" cm="1">
        <f t="array" ref="T50">_xlfn.XLOOKUP(T$5^$H50,$A$4:$A$1711^$B$4:$B$1711,$D$4:$D$1711,NA(),0,1)</f>
        <v>3540</v>
      </c>
      <c r="U50" s="5" cm="1">
        <f t="array" ref="U50">_xlfn.XLOOKUP(U$5^$H50,$A$4:$A$1711^$B$4:$B$1711,$D$4:$D$1711,NA(),0,1)</f>
        <v>3488</v>
      </c>
      <c r="V50" s="5" cm="1">
        <f t="array" ref="V50">_xlfn.XLOOKUP(V$5^$H50,$A$4:$A$1711^$B$4:$B$1711,$D$4:$D$1711,NA(),0,1)</f>
        <v>3833</v>
      </c>
      <c r="W50" s="5" cm="1">
        <f t="array" ref="W50">_xlfn.XLOOKUP(W$5^$H50,$A$4:$A$1711^$B$4:$B$1711,$D$4:$D$1711,NA(),0,1)</f>
        <v>3834</v>
      </c>
      <c r="X50" s="5" cm="1">
        <f t="array" ref="X50">_xlfn.XLOOKUP(X$5^$H50,$A$4:$A$1711^$B$4:$B$1711,$D$4:$D$1711,NA(),0,1)</f>
        <v>3844</v>
      </c>
      <c r="Y50" s="5" cm="1">
        <f t="array" ref="Y50">_xlfn.XLOOKUP(Y$5^$H50,$A$4:$A$1711^$B$4:$B$1711,$D$4:$D$1711,NA(),0,1)</f>
        <v>3873</v>
      </c>
      <c r="Z50" s="5" cm="1">
        <f t="array" ref="Z50">_xlfn.XLOOKUP(Z$5^$H50,$A$4:$A$1711^$B$4:$B$1711,$D$4:$D$1711,NA(),0,1)</f>
        <v>3789</v>
      </c>
      <c r="AA50" s="5" cm="1">
        <f t="array" ref="AA50">_xlfn.XLOOKUP(AA$5^$H50,$A$4:$A$1711^$B$4:$B$1711,$D$4:$D$1711,NA(),0,1)</f>
        <v>3594</v>
      </c>
      <c r="AB50" s="5" cm="1">
        <f t="array" ref="AB50">_xlfn.XLOOKUP(AB$5^$H50,$A$4:$A$1711^$B$4:$B$1711,$D$4:$D$1711,NA(),0,1)</f>
        <v>4000</v>
      </c>
      <c r="AC50" s="5" cm="1">
        <f t="array" ref="AC50">_xlfn.XLOOKUP(AC$5^$H50,$A$4:$A$1711^$B$4:$B$1711,$D$4:$D$1711,NA(),0,1)</f>
        <v>4047</v>
      </c>
      <c r="AD50" s="5" cm="1">
        <f t="array" ref="AD50">_xlfn.XLOOKUP(AD$5^$H50,$A$4:$A$1711^$B$4:$B$1711,$D$4:$D$1711,NA(),0,1)</f>
        <v>3726</v>
      </c>
      <c r="AE50" s="5" cm="1">
        <f t="array" ref="AE50">_xlfn.XLOOKUP(AE$5^$H50,$A$4:$A$1711^$B$4:$B$1711,$D$4:$D$1711,NA(),0,1)</f>
        <v>3113</v>
      </c>
      <c r="AF50" s="5" cm="1">
        <f t="array" ref="AF50">_xlfn.XLOOKUP(AF$5^$H50,$A$4:$A$1711^$B$4:$B$1711,$D$4:$D$1711,NA(),0,1)</f>
        <v>3638</v>
      </c>
      <c r="AG50" s="5" cm="1">
        <f t="array" ref="AG50">_xlfn.XLOOKUP(AG$5^$H50,$A$4:$A$1711^$B$4:$B$1711,$D$4:$D$1711,NA(),0,1)</f>
        <v>3958</v>
      </c>
      <c r="AH50" s="5" cm="1">
        <f t="array" ref="AH50">_xlfn.XLOOKUP(AH$5^$H50,$A$4:$A$1711^$B$4:$B$1711,$D$4:$D$1711,NA(),0,1)</f>
        <v>3644</v>
      </c>
      <c r="AI50" s="5" cm="1">
        <f t="array" ref="AI50">_xlfn.XLOOKUP(AI$5^$H50,$A$4:$A$1711^$B$4:$B$1711,$D$4:$D$1711,NA(),0,1)</f>
        <v>3644</v>
      </c>
      <c r="AJ50" s="5" cm="1">
        <f t="array" ref="AJ50">_xlfn.XLOOKUP(AJ$5^$H50,$A$4:$A$1711^$B$4:$B$1711,$D$4:$D$1711,NA(),0,1)</f>
        <v>3826</v>
      </c>
      <c r="AK50" s="5" cm="1">
        <f t="array" ref="AK50">_xlfn.XLOOKUP(AK$5^$H50,$A$4:$A$1711^$B$4:$B$1711,$D$4:$D$1711,NA(),0,1)</f>
        <v>3969</v>
      </c>
      <c r="AL50" s="5" cm="1">
        <f t="array" ref="AL50">_xlfn.XLOOKUP(AL$5^$H50,$A$4:$A$1711^$B$4:$B$1711,$D$4:$D$1711,NA(),0,1)</f>
        <v>3936</v>
      </c>
      <c r="AM50" s="5" t="e" cm="1">
        <f t="array" ref="AM50">_xlfn.XLOOKUP(AM$5^$H50,$A$4:$A$1711^$B$4:$B$1711,$D$4:$D$1711,NA(),0,1)</f>
        <v>#N/A</v>
      </c>
    </row>
    <row r="51" spans="1:39" x14ac:dyDescent="0.25">
      <c r="A51" s="5">
        <f t="shared" si="0"/>
        <v>1994</v>
      </c>
      <c r="B51" s="5">
        <f t="shared" si="1"/>
        <v>49</v>
      </c>
      <c r="C51" s="2">
        <v>34670</v>
      </c>
      <c r="D51" s="1">
        <v>2957</v>
      </c>
      <c r="H51" s="5">
        <f t="shared" si="3"/>
        <v>47</v>
      </c>
      <c r="I51" s="5" cm="1">
        <f t="array" ref="I51">_xlfn.XLOOKUP(I$5^$H51,$A$4:$A$1711^B49:B1756,D49:D1756,NA(),0,1)</f>
        <v>2659</v>
      </c>
      <c r="J51" s="5" cm="1">
        <f t="array" ref="J51">_xlfn.XLOOKUP(J$5^$H51,$A$4:$A$1711^$B$4:$B$1711,$D$4:$D$1711,NA(),0,1)</f>
        <v>2746</v>
      </c>
      <c r="K51" s="5" cm="1">
        <f t="array" ref="K51">_xlfn.XLOOKUP(K$5^$H51,$A$4:$A$1711^$B$4:$B$1711,$D$4:$D$1711,NA(),0,1)</f>
        <v>3144</v>
      </c>
      <c r="L51" s="5" cm="1">
        <f t="array" ref="L51">_xlfn.XLOOKUP(L$5^$H51,$A$4:$A$1711^$B$4:$B$1711,$D$4:$D$1711,NA(),0,1)</f>
        <v>3090</v>
      </c>
      <c r="M51" s="5" cm="1">
        <f t="array" ref="M51">_xlfn.XLOOKUP(M$5^$H51,$A$4:$A$1711^$B$4:$B$1711,$D$4:$D$1711,NA(),0,1)</f>
        <v>2654</v>
      </c>
      <c r="N51" s="5" cm="1">
        <f t="array" ref="N51">_xlfn.XLOOKUP(N$5^$H51,$A$4:$A$1711^$B$4:$B$1711,$D$4:$D$1711,NA(),0,1)</f>
        <v>3250</v>
      </c>
      <c r="O51" s="5" cm="1">
        <f t="array" ref="O51">_xlfn.XLOOKUP(O$5^$H51,$A$4:$A$1711^$B$4:$B$1711,$D$4:$D$1711,NA(),0,1)</f>
        <v>3047</v>
      </c>
      <c r="P51" s="5" cm="1">
        <f t="array" ref="P51">_xlfn.XLOOKUP(P$5^$H51,$A$4:$A$1711^$B$4:$B$1711,$D$4:$D$1711,NA(),0,1)</f>
        <v>3154</v>
      </c>
      <c r="Q51" s="5" cm="1">
        <f t="array" ref="Q51">_xlfn.XLOOKUP(Q$5^$H51,$A$4:$A$1711^$B$4:$B$1711,$D$4:$D$1711,NA(),0,1)</f>
        <v>3304</v>
      </c>
      <c r="R51" s="5" cm="1">
        <f t="array" ref="R51">_xlfn.XLOOKUP(R$5^$H51,$A$4:$A$1711^$B$4:$B$1711,$D$4:$D$1711,NA(),0,1)</f>
        <v>3274</v>
      </c>
      <c r="S51" s="5" cm="1">
        <f t="array" ref="S51">_xlfn.XLOOKUP(S$5^$H51,$A$4:$A$1711^$B$4:$B$1711,$D$4:$D$1711,NA(),0,1)</f>
        <v>3417</v>
      </c>
      <c r="T51" s="5" cm="1">
        <f t="array" ref="T51">_xlfn.XLOOKUP(T$5^$H51,$A$4:$A$1711^$B$4:$B$1711,$D$4:$D$1711,NA(),0,1)</f>
        <v>3528</v>
      </c>
      <c r="U51" s="5" cm="1">
        <f t="array" ref="U51">_xlfn.XLOOKUP(U$5^$H51,$A$4:$A$1711^$B$4:$B$1711,$D$4:$D$1711,NA(),0,1)</f>
        <v>3422</v>
      </c>
      <c r="V51" s="5" cm="1">
        <f t="array" ref="V51">_xlfn.XLOOKUP(V$5^$H51,$A$4:$A$1711^$B$4:$B$1711,$D$4:$D$1711,NA(),0,1)</f>
        <v>3835</v>
      </c>
      <c r="W51" s="5" cm="1">
        <f t="array" ref="W51">_xlfn.XLOOKUP(W$5^$H51,$A$4:$A$1711^$B$4:$B$1711,$D$4:$D$1711,NA(),0,1)</f>
        <v>3828</v>
      </c>
      <c r="X51" s="5" cm="1">
        <f t="array" ref="X51">_xlfn.XLOOKUP(X$5^$H51,$A$4:$A$1711^$B$4:$B$1711,$D$4:$D$1711,NA(),0,1)</f>
        <v>3853</v>
      </c>
      <c r="Y51" s="5" cm="1">
        <f t="array" ref="Y51">_xlfn.XLOOKUP(Y$5^$H51,$A$4:$A$1711^$B$4:$B$1711,$D$4:$D$1711,NA(),0,1)</f>
        <v>3876</v>
      </c>
      <c r="Z51" s="5" cm="1">
        <f t="array" ref="Z51">_xlfn.XLOOKUP(Z$5^$H51,$A$4:$A$1711^$B$4:$B$1711,$D$4:$D$1711,NA(),0,1)</f>
        <v>3775</v>
      </c>
      <c r="AA51" s="5" cm="1">
        <f t="array" ref="AA51">_xlfn.XLOOKUP(AA$5^$H51,$A$4:$A$1711^$B$4:$B$1711,$D$4:$D$1711,NA(),0,1)</f>
        <v>3432</v>
      </c>
      <c r="AB51" s="5" cm="1">
        <f t="array" ref="AB51">_xlfn.XLOOKUP(AB$5^$H51,$A$4:$A$1711^$B$4:$B$1711,$D$4:$D$1711,NA(),0,1)</f>
        <v>4009</v>
      </c>
      <c r="AC51" s="5" cm="1">
        <f t="array" ref="AC51">_xlfn.XLOOKUP(AC$5^$H51,$A$4:$A$1711^$B$4:$B$1711,$D$4:$D$1711,NA(),0,1)</f>
        <v>4045</v>
      </c>
      <c r="AD51" s="5" cm="1">
        <f t="array" ref="AD51">_xlfn.XLOOKUP(AD$5^$H51,$A$4:$A$1711^$B$4:$B$1711,$D$4:$D$1711,NA(),0,1)</f>
        <v>3693</v>
      </c>
      <c r="AE51" s="5" cm="1">
        <f t="array" ref="AE51">_xlfn.XLOOKUP(AE$5^$H51,$A$4:$A$1711^$B$4:$B$1711,$D$4:$D$1711,NA(),0,1)</f>
        <v>3054</v>
      </c>
      <c r="AF51" s="5" cm="1">
        <f t="array" ref="AF51">_xlfn.XLOOKUP(AF$5^$H51,$A$4:$A$1711^$B$4:$B$1711,$D$4:$D$1711,NA(),0,1)</f>
        <v>3610</v>
      </c>
      <c r="AG51" s="5" cm="1">
        <f t="array" ref="AG51">_xlfn.XLOOKUP(AG$5^$H51,$A$4:$A$1711^$B$4:$B$1711,$D$4:$D$1711,NA(),0,1)</f>
        <v>3940</v>
      </c>
      <c r="AH51" s="5" cm="1">
        <f t="array" ref="AH51">_xlfn.XLOOKUP(AH$5^$H51,$A$4:$A$1711^$B$4:$B$1711,$D$4:$D$1711,NA(),0,1)</f>
        <v>3623</v>
      </c>
      <c r="AI51" s="5" cm="1">
        <f t="array" ref="AI51">_xlfn.XLOOKUP(AI$5^$H51,$A$4:$A$1711^$B$4:$B$1711,$D$4:$D$1711,NA(),0,1)</f>
        <v>3564</v>
      </c>
      <c r="AJ51" s="5" cm="1">
        <f t="array" ref="AJ51">_xlfn.XLOOKUP(AJ$5^$H51,$A$4:$A$1711^$B$4:$B$1711,$D$4:$D$1711,NA(),0,1)</f>
        <v>3836</v>
      </c>
      <c r="AK51" s="5" cm="1">
        <f t="array" ref="AK51">_xlfn.XLOOKUP(AK$5^$H51,$A$4:$A$1711^$B$4:$B$1711,$D$4:$D$1711,NA(),0,1)</f>
        <v>3967</v>
      </c>
      <c r="AL51" s="5" cm="1">
        <f t="array" ref="AL51">_xlfn.XLOOKUP(AL$5^$H51,$A$4:$A$1711^$B$4:$B$1711,$D$4:$D$1711,NA(),0,1)</f>
        <v>3924</v>
      </c>
      <c r="AM51" s="5" t="e" cm="1">
        <f t="array" ref="AM51">_xlfn.XLOOKUP(AM$5^$H51,$A$4:$A$1711^$B$4:$B$1711,$D$4:$D$1711,NA(),0,1)</f>
        <v>#N/A</v>
      </c>
    </row>
    <row r="52" spans="1:39" x14ac:dyDescent="0.25">
      <c r="A52" s="5">
        <f t="shared" si="0"/>
        <v>1994</v>
      </c>
      <c r="B52" s="5">
        <f t="shared" si="1"/>
        <v>50</v>
      </c>
      <c r="C52" s="2">
        <v>34677</v>
      </c>
      <c r="D52" s="1">
        <v>2914</v>
      </c>
      <c r="H52" s="5">
        <f t="shared" si="3"/>
        <v>48</v>
      </c>
      <c r="I52" s="5" cm="1">
        <f t="array" ref="I52">_xlfn.XLOOKUP(I$5^$H52,$A$4:$A$1711^B50:B1757,D50:D1757,NA(),0,1)</f>
        <v>2559</v>
      </c>
      <c r="J52" s="5" cm="1">
        <f t="array" ref="J52">_xlfn.XLOOKUP(J$5^$H52,$A$4:$A$1711^$B$4:$B$1711,$D$4:$D$1711,NA(),0,1)</f>
        <v>2717</v>
      </c>
      <c r="K52" s="5" cm="1">
        <f t="array" ref="K52">_xlfn.XLOOKUP(K$5^$H52,$A$4:$A$1711^$B$4:$B$1711,$D$4:$D$1711,NA(),0,1)</f>
        <v>3145</v>
      </c>
      <c r="L52" s="5" cm="1">
        <f t="array" ref="L52">_xlfn.XLOOKUP(L$5^$H52,$A$4:$A$1711^$B$4:$B$1711,$D$4:$D$1711,NA(),0,1)</f>
        <v>3103</v>
      </c>
      <c r="M52" s="5" cm="1">
        <f t="array" ref="M52">_xlfn.XLOOKUP(M$5^$H52,$A$4:$A$1711^$B$4:$B$1711,$D$4:$D$1711,NA(),0,1)</f>
        <v>2506</v>
      </c>
      <c r="N52" s="5" cm="1">
        <f t="array" ref="N52">_xlfn.XLOOKUP(N$5^$H52,$A$4:$A$1711^$B$4:$B$1711,$D$4:$D$1711,NA(),0,1)</f>
        <v>3254</v>
      </c>
      <c r="O52" s="5" cm="1">
        <f t="array" ref="O52">_xlfn.XLOOKUP(O$5^$H52,$A$4:$A$1711^$B$4:$B$1711,$D$4:$D$1711,NA(),0,1)</f>
        <v>2956</v>
      </c>
      <c r="P52" s="5" cm="1">
        <f t="array" ref="P52">_xlfn.XLOOKUP(P$5^$H52,$A$4:$A$1711^$B$4:$B$1711,$D$4:$D$1711,NA(),0,1)</f>
        <v>3095</v>
      </c>
      <c r="Q52" s="5" cm="1">
        <f t="array" ref="Q52">_xlfn.XLOOKUP(Q$5^$H52,$A$4:$A$1711^$B$4:$B$1711,$D$4:$D$1711,NA(),0,1)</f>
        <v>3299</v>
      </c>
      <c r="R52" s="5" cm="1">
        <f t="array" ref="R52">_xlfn.XLOOKUP(R$5^$H52,$A$4:$A$1711^$B$4:$B$1711,$D$4:$D$1711,NA(),0,1)</f>
        <v>3225</v>
      </c>
      <c r="S52" s="5" cm="1">
        <f t="array" ref="S52">_xlfn.XLOOKUP(S$5^$H52,$A$4:$A$1711^$B$4:$B$1711,$D$4:$D$1711,NA(),0,1)</f>
        <v>3406</v>
      </c>
      <c r="T52" s="5" cm="1">
        <f t="array" ref="T52">_xlfn.XLOOKUP(T$5^$H52,$A$4:$A$1711^$B$4:$B$1711,$D$4:$D$1711,NA(),0,1)</f>
        <v>3440</v>
      </c>
      <c r="U52" s="5" cm="1">
        <f t="array" ref="U52">_xlfn.XLOOKUP(U$5^$H52,$A$4:$A$1711^$B$4:$B$1711,$D$4:$D$1711,NA(),0,1)</f>
        <v>3358</v>
      </c>
      <c r="V52" s="5" cm="1">
        <f t="array" ref="V52">_xlfn.XLOOKUP(V$5^$H52,$A$4:$A$1711^$B$4:$B$1711,$D$4:$D$1711,NA(),0,1)</f>
        <v>3837</v>
      </c>
      <c r="W52" s="5" cm="1">
        <f t="array" ref="W52">_xlfn.XLOOKUP(W$5^$H52,$A$4:$A$1711^$B$4:$B$1711,$D$4:$D$1711,NA(),0,1)</f>
        <v>3805</v>
      </c>
      <c r="X52" s="5" cm="1">
        <f t="array" ref="X52">_xlfn.XLOOKUP(X$5^$H52,$A$4:$A$1711^$B$4:$B$1711,$D$4:$D$1711,NA(),0,1)</f>
        <v>3850</v>
      </c>
      <c r="Y52" s="5" cm="1">
        <f t="array" ref="Y52">_xlfn.XLOOKUP(Y$5^$H52,$A$4:$A$1711^$B$4:$B$1711,$D$4:$D$1711,NA(),0,1)</f>
        <v>3804</v>
      </c>
      <c r="Z52" s="5" cm="1">
        <f t="array" ref="Z52">_xlfn.XLOOKUP(Z$5^$H52,$A$4:$A$1711^$B$4:$B$1711,$D$4:$D$1711,NA(),0,1)</f>
        <v>3613</v>
      </c>
      <c r="AA52" s="5" cm="1">
        <f t="array" ref="AA52">_xlfn.XLOOKUP(AA$5^$H52,$A$4:$A$1711^$B$4:$B$1711,$D$4:$D$1711,NA(),0,1)</f>
        <v>3410</v>
      </c>
      <c r="AB52" s="5" cm="1">
        <f t="array" ref="AB52">_xlfn.XLOOKUP(AB$5^$H52,$A$4:$A$1711^$B$4:$B$1711,$D$4:$D$1711,NA(),0,1)</f>
        <v>3956</v>
      </c>
      <c r="AC52" s="5" cm="1">
        <f t="array" ref="AC52">_xlfn.XLOOKUP(AC$5^$H52,$A$4:$A$1711^$B$4:$B$1711,$D$4:$D$1711,NA(),0,1)</f>
        <v>3995</v>
      </c>
      <c r="AD52" s="5" cm="1">
        <f t="array" ref="AD52">_xlfn.XLOOKUP(AD$5^$H52,$A$4:$A$1711^$B$4:$B$1711,$D$4:$D$1711,NA(),0,1)</f>
        <v>3695</v>
      </c>
      <c r="AE52" s="5" cm="1">
        <f t="array" ref="AE52">_xlfn.XLOOKUP(AE$5^$H52,$A$4:$A$1711^$B$4:$B$1711,$D$4:$D$1711,NA(),0,1)</f>
        <v>2991</v>
      </c>
      <c r="AF52" s="5" cm="1">
        <f t="array" ref="AF52">_xlfn.XLOOKUP(AF$5^$H52,$A$4:$A$1711^$B$4:$B$1711,$D$4:$D$1711,NA(),0,1)</f>
        <v>3591</v>
      </c>
      <c r="AG52" s="5" cm="1">
        <f t="array" ref="AG52">_xlfn.XLOOKUP(AG$5^$H52,$A$4:$A$1711^$B$4:$B$1711,$D$4:$D$1711,NA(),0,1)</f>
        <v>3939</v>
      </c>
      <c r="AH52" s="5" cm="1">
        <f t="array" ref="AH52">_xlfn.XLOOKUP(AH$5^$H52,$A$4:$A$1711^$B$4:$B$1711,$D$4:$D$1711,NA(),0,1)</f>
        <v>3564</v>
      </c>
      <c r="AI52" s="5" cm="1">
        <f t="array" ref="AI52">_xlfn.XLOOKUP(AI$5^$H52,$A$4:$A$1711^$B$4:$B$1711,$D$4:$D$1711,NA(),0,1)</f>
        <v>3483</v>
      </c>
      <c r="AJ52" s="5" cm="1">
        <f t="array" ref="AJ52">_xlfn.XLOOKUP(AJ$5^$H52,$A$4:$A$1711^$B$4:$B$1711,$D$4:$D$1711,NA(),0,1)</f>
        <v>3719</v>
      </c>
      <c r="AK52" s="5" cm="1">
        <f t="array" ref="AK52">_xlfn.XLOOKUP(AK$5^$H52,$A$4:$A$1711^$B$4:$B$1711,$D$4:$D$1711,NA(),0,1)</f>
        <v>3937</v>
      </c>
      <c r="AL52" s="5" cm="1">
        <f t="array" ref="AL52">_xlfn.XLOOKUP(AL$5^$H52,$A$4:$A$1711^$B$4:$B$1711,$D$4:$D$1711,NA(),0,1)</f>
        <v>3913</v>
      </c>
      <c r="AM52" s="5" t="e" cm="1">
        <f t="array" ref="AM52">_xlfn.XLOOKUP(AM$5^$H52,$A$4:$A$1711^$B$4:$B$1711,$D$4:$D$1711,NA(),0,1)</f>
        <v>#N/A</v>
      </c>
    </row>
    <row r="53" spans="1:39" x14ac:dyDescent="0.25">
      <c r="A53" s="5">
        <f t="shared" si="0"/>
        <v>1994</v>
      </c>
      <c r="B53" s="5">
        <f t="shared" si="1"/>
        <v>51</v>
      </c>
      <c r="C53" s="2">
        <v>34684</v>
      </c>
      <c r="D53" s="1">
        <v>2765</v>
      </c>
      <c r="H53" s="5">
        <f t="shared" si="3"/>
        <v>49</v>
      </c>
      <c r="I53" s="5" cm="1">
        <f t="array" ref="I53">_xlfn.XLOOKUP(I$5^$H53,$A$4:$A$1711^B51:B1758,D51:D1758,NA(),0,1)</f>
        <v>2490</v>
      </c>
      <c r="J53" s="5" cm="1">
        <f t="array" ref="J53">_xlfn.XLOOKUP(J$5^$H53,$A$4:$A$1711^$B$4:$B$1711,$D$4:$D$1711,NA(),0,1)</f>
        <v>2649</v>
      </c>
      <c r="K53" s="5" cm="1">
        <f t="array" ref="K53">_xlfn.XLOOKUP(K$5^$H53,$A$4:$A$1711^$B$4:$B$1711,$D$4:$D$1711,NA(),0,1)</f>
        <v>3172</v>
      </c>
      <c r="L53" s="5" cm="1">
        <f t="array" ref="L53">_xlfn.XLOOKUP(L$5^$H53,$A$4:$A$1711^$B$4:$B$1711,$D$4:$D$1711,NA(),0,1)</f>
        <v>3035</v>
      </c>
      <c r="M53" s="5" cm="1">
        <f t="array" ref="M53">_xlfn.XLOOKUP(M$5^$H53,$A$4:$A$1711^$B$4:$B$1711,$D$4:$D$1711,NA(),0,1)</f>
        <v>2434</v>
      </c>
      <c r="N53" s="5" cm="1">
        <f t="array" ref="N53">_xlfn.XLOOKUP(N$5^$H53,$A$4:$A$1711^$B$4:$B$1711,$D$4:$D$1711,NA(),0,1)</f>
        <v>3238</v>
      </c>
      <c r="O53" s="5" cm="1">
        <f t="array" ref="O53">_xlfn.XLOOKUP(O$5^$H53,$A$4:$A$1711^$B$4:$B$1711,$D$4:$D$1711,NA(),0,1)</f>
        <v>2794</v>
      </c>
      <c r="P53" s="5" cm="1">
        <f t="array" ref="P53">_xlfn.XLOOKUP(P$5^$H53,$A$4:$A$1711^$B$4:$B$1711,$D$4:$D$1711,NA(),0,1)</f>
        <v>2984</v>
      </c>
      <c r="Q53" s="5" cm="1">
        <f t="array" ref="Q53">_xlfn.XLOOKUP(Q$5^$H53,$A$4:$A$1711^$B$4:$B$1711,$D$4:$D$1711,NA(),0,1)</f>
        <v>3211</v>
      </c>
      <c r="R53" s="5" cm="1">
        <f t="array" ref="R53">_xlfn.XLOOKUP(R$5^$H53,$A$4:$A$1711^$B$4:$B$1711,$D$4:$D$1711,NA(),0,1)</f>
        <v>3166</v>
      </c>
      <c r="S53" s="5" cm="1">
        <f t="array" ref="S53">_xlfn.XLOOKUP(S$5^$H53,$A$4:$A$1711^$B$4:$B$1711,$D$4:$D$1711,NA(),0,1)</f>
        <v>3238</v>
      </c>
      <c r="T53" s="5" cm="1">
        <f t="array" ref="T53">_xlfn.XLOOKUP(T$5^$H53,$A$4:$A$1711^$B$4:$B$1711,$D$4:$D$1711,NA(),0,1)</f>
        <v>3294</v>
      </c>
      <c r="U53" s="5" cm="1">
        <f t="array" ref="U53">_xlfn.XLOOKUP(U$5^$H53,$A$4:$A$1711^$B$4:$B$1711,$D$4:$D$1711,NA(),0,1)</f>
        <v>3291</v>
      </c>
      <c r="V53" s="5" cm="1">
        <f t="array" ref="V53">_xlfn.XLOOKUP(V$5^$H53,$A$4:$A$1711^$B$4:$B$1711,$D$4:$D$1711,NA(),0,1)</f>
        <v>3773</v>
      </c>
      <c r="W53" s="5" cm="1">
        <f t="array" ref="W53">_xlfn.XLOOKUP(W$5^$H53,$A$4:$A$1711^$B$4:$B$1711,$D$4:$D$1711,NA(),0,1)</f>
        <v>3717</v>
      </c>
      <c r="X53" s="5" cm="1">
        <f t="array" ref="X53">_xlfn.XLOOKUP(X$5^$H53,$A$4:$A$1711^$B$4:$B$1711,$D$4:$D$1711,NA(),0,1)</f>
        <v>3830</v>
      </c>
      <c r="Y53" s="5" cm="1">
        <f t="array" ref="Y53">_xlfn.XLOOKUP(Y$5^$H53,$A$4:$A$1711^$B$4:$B$1711,$D$4:$D$1711,NA(),0,1)</f>
        <v>3806</v>
      </c>
      <c r="Z53" s="5" cm="1">
        <f t="array" ref="Z53">_xlfn.XLOOKUP(Z$5^$H53,$A$4:$A$1711^$B$4:$B$1711,$D$4:$D$1711,NA(),0,1)</f>
        <v>3533</v>
      </c>
      <c r="AA53" s="5" cm="1">
        <f t="array" ref="AA53">_xlfn.XLOOKUP(AA$5^$H53,$A$4:$A$1711^$B$4:$B$1711,$D$4:$D$1711,NA(),0,1)</f>
        <v>3359</v>
      </c>
      <c r="AB53" s="5" cm="1">
        <f t="array" ref="AB53">_xlfn.XLOOKUP(AB$5^$H53,$A$4:$A$1711^$B$4:$B$1711,$D$4:$D$1711,NA(),0,1)</f>
        <v>3880</v>
      </c>
      <c r="AC53" s="5" cm="1">
        <f t="array" ref="AC53">_xlfn.XLOOKUP(AC$5^$H53,$A$4:$A$1711^$B$4:$B$1711,$D$4:$D$1711,NA(),0,1)</f>
        <v>3953</v>
      </c>
      <c r="AD53" s="5" cm="1">
        <f t="array" ref="AD53">_xlfn.XLOOKUP(AD$5^$H53,$A$4:$A$1711^$B$4:$B$1711,$D$4:$D$1711,NA(),0,1)</f>
        <v>3626</v>
      </c>
      <c r="AE53" s="5" cm="1">
        <f t="array" ref="AE53">_xlfn.XLOOKUP(AE$5^$H53,$A$4:$A$1711^$B$4:$B$1711,$D$4:$D$1711,NA(),0,1)</f>
        <v>2914</v>
      </c>
      <c r="AF53" s="5" cm="1">
        <f t="array" ref="AF53">_xlfn.XLOOKUP(AF$5^$H53,$A$4:$A$1711^$B$4:$B$1711,$D$4:$D$1711,NA(),0,1)</f>
        <v>3518</v>
      </c>
      <c r="AG53" s="5" cm="1">
        <f t="array" ref="AG53">_xlfn.XLOOKUP(AG$5^$H53,$A$4:$A$1711^$B$4:$B$1711,$D$4:$D$1711,NA(),0,1)</f>
        <v>3848</v>
      </c>
      <c r="AH53" s="5" cm="1">
        <f t="array" ref="AH53">_xlfn.XLOOKUP(AH$5^$H53,$A$4:$A$1711^$B$4:$B$1711,$D$4:$D$1711,NA(),0,1)</f>
        <v>3505</v>
      </c>
      <c r="AI53" s="5" cm="1">
        <f t="array" ref="AI53">_xlfn.XLOOKUP(AI$5^$H53,$A$4:$A$1711^$B$4:$B$1711,$D$4:$D$1711,NA(),0,1)</f>
        <v>3462</v>
      </c>
      <c r="AJ53" s="5" cm="1">
        <f t="array" ref="AJ53">_xlfn.XLOOKUP(AJ$5^$H53,$A$4:$A$1711^$B$4:$B$1711,$D$4:$D$1711,NA(),0,1)</f>
        <v>3664</v>
      </c>
      <c r="AK53" s="5" cm="1">
        <f t="array" ref="AK53">_xlfn.XLOOKUP(AK$5^$H53,$A$4:$A$1711^$B$4:$B$1711,$D$4:$D$1711,NA(),0,1)</f>
        <v>3747</v>
      </c>
      <c r="AL53" s="5" cm="1">
        <f t="array" ref="AL53">_xlfn.XLOOKUP(AL$5^$H53,$A$4:$A$1711^$B$4:$B$1711,$D$4:$D$1711,NA(),0,1)</f>
        <v>3735</v>
      </c>
      <c r="AM53" s="5" t="e" cm="1">
        <f t="array" ref="AM53">_xlfn.XLOOKUP(AM$5^$H53,$A$4:$A$1711^$B$4:$B$1711,$D$4:$D$1711,NA(),0,1)</f>
        <v>#N/A</v>
      </c>
    </row>
    <row r="54" spans="1:39" x14ac:dyDescent="0.25">
      <c r="A54" s="5">
        <f t="shared" si="0"/>
        <v>1994</v>
      </c>
      <c r="B54" s="5">
        <f t="shared" si="1"/>
        <v>52</v>
      </c>
      <c r="C54" s="2">
        <v>34691</v>
      </c>
      <c r="D54" s="1">
        <v>2696</v>
      </c>
      <c r="H54" s="5">
        <f t="shared" si="3"/>
        <v>50</v>
      </c>
      <c r="I54" s="5" cm="1">
        <f t="array" ref="I54">_xlfn.XLOOKUP(I$5^$H54,$A$4:$A$1711^B52:B1759,D52:D1759,NA(),0,1)</f>
        <v>2439</v>
      </c>
      <c r="J54" s="5" cm="1">
        <f t="array" ref="J54">_xlfn.XLOOKUP(J$5^$H54,$A$4:$A$1711^$B$4:$B$1711,$D$4:$D$1711,NA(),0,1)</f>
        <v>2509</v>
      </c>
      <c r="K54" s="5" cm="1">
        <f t="array" ref="K54">_xlfn.XLOOKUP(K$5^$H54,$A$4:$A$1711^$B$4:$B$1711,$D$4:$D$1711,NA(),0,1)</f>
        <v>3125</v>
      </c>
      <c r="L54" s="5" cm="1">
        <f t="array" ref="L54">_xlfn.XLOOKUP(L$5^$H54,$A$4:$A$1711^$B$4:$B$1711,$D$4:$D$1711,NA(),0,1)</f>
        <v>2962</v>
      </c>
      <c r="M54" s="5" cm="1">
        <f t="array" ref="M54">_xlfn.XLOOKUP(M$5^$H54,$A$4:$A$1711^$B$4:$B$1711,$D$4:$D$1711,NA(),0,1)</f>
        <v>2287</v>
      </c>
      <c r="N54" s="5" cm="1">
        <f t="array" ref="N54">_xlfn.XLOOKUP(N$5^$H54,$A$4:$A$1711^$B$4:$B$1711,$D$4:$D$1711,NA(),0,1)</f>
        <v>3195</v>
      </c>
      <c r="O54" s="5" cm="1">
        <f t="array" ref="O54">_xlfn.XLOOKUP(O$5^$H54,$A$4:$A$1711^$B$4:$B$1711,$D$4:$D$1711,NA(),0,1)</f>
        <v>2635</v>
      </c>
      <c r="P54" s="5" cm="1">
        <f t="array" ref="P54">_xlfn.XLOOKUP(P$5^$H54,$A$4:$A$1711^$B$4:$B$1711,$D$4:$D$1711,NA(),0,1)</f>
        <v>2850</v>
      </c>
      <c r="Q54" s="5" cm="1">
        <f t="array" ref="Q54">_xlfn.XLOOKUP(Q$5^$H54,$A$4:$A$1711^$B$4:$B$1711,$D$4:$D$1711,NA(),0,1)</f>
        <v>3150</v>
      </c>
      <c r="R54" s="5" cm="1">
        <f t="array" ref="R54">_xlfn.XLOOKUP(R$5^$H54,$A$4:$A$1711^$B$4:$B$1711,$D$4:$D$1711,NA(),0,1)</f>
        <v>2964</v>
      </c>
      <c r="S54" s="5" cm="1">
        <f t="array" ref="S54">_xlfn.XLOOKUP(S$5^$H54,$A$4:$A$1711^$B$4:$B$1711,$D$4:$D$1711,NA(),0,1)</f>
        <v>3167</v>
      </c>
      <c r="T54" s="5" cm="1">
        <f t="array" ref="T54">_xlfn.XLOOKUP(T$5^$H54,$A$4:$A$1711^$B$4:$B$1711,$D$4:$D$1711,NA(),0,1)</f>
        <v>3173</v>
      </c>
      <c r="U54" s="5" cm="1">
        <f t="array" ref="U54">_xlfn.XLOOKUP(U$5^$H54,$A$4:$A$1711^$B$4:$B$1711,$D$4:$D$1711,NA(),0,1)</f>
        <v>3167</v>
      </c>
      <c r="V54" s="5" cm="1">
        <f t="array" ref="V54">_xlfn.XLOOKUP(V$5^$H54,$A$4:$A$1711^$B$4:$B$1711,$D$4:$D$1711,NA(),0,1)</f>
        <v>3566</v>
      </c>
      <c r="W54" s="5" cm="1">
        <f t="array" ref="W54">_xlfn.XLOOKUP(W$5^$H54,$A$4:$A$1711^$B$4:$B$1711,$D$4:$D$1711,NA(),0,1)</f>
        <v>3553</v>
      </c>
      <c r="X54" s="5" cm="1">
        <f t="array" ref="X54">_xlfn.XLOOKUP(X$5^$H54,$A$4:$A$1711^$B$4:$B$1711,$D$4:$D$1711,NA(),0,1)</f>
        <v>3729</v>
      </c>
      <c r="Y54" s="5" cm="1">
        <f t="array" ref="Y54">_xlfn.XLOOKUP(Y$5^$H54,$A$4:$A$1711^$B$4:$B$1711,$D$4:$D$1711,NA(),0,1)</f>
        <v>3724</v>
      </c>
      <c r="Z54" s="5" cm="1">
        <f t="array" ref="Z54">_xlfn.XLOOKUP(Z$5^$H54,$A$4:$A$1711^$B$4:$B$1711,$D$4:$D$1711,NA(),0,1)</f>
        <v>3248</v>
      </c>
      <c r="AA54" s="5" cm="1">
        <f t="array" ref="AA54">_xlfn.XLOOKUP(AA$5^$H54,$A$4:$A$1711^$B$4:$B$1711,$D$4:$D$1711,NA(),0,1)</f>
        <v>3296</v>
      </c>
      <c r="AB54" s="5" cm="1">
        <f t="array" ref="AB54">_xlfn.XLOOKUP(AB$5^$H54,$A$4:$A$1711^$B$4:$B$1711,$D$4:$D$1711,NA(),0,1)</f>
        <v>3846</v>
      </c>
      <c r="AC54" s="5" cm="1">
        <f t="array" ref="AC54">_xlfn.XLOOKUP(AC$5^$H54,$A$4:$A$1711^$B$4:$B$1711,$D$4:$D$1711,NA(),0,1)</f>
        <v>3806</v>
      </c>
      <c r="AD54" s="5" cm="1">
        <f t="array" ref="AD54">_xlfn.XLOOKUP(AD$5^$H54,$A$4:$A$1711^$B$4:$B$1711,$D$4:$D$1711,NA(),0,1)</f>
        <v>3444</v>
      </c>
      <c r="AE54" s="5" cm="1">
        <f t="array" ref="AE54">_xlfn.XLOOKUP(AE$5^$H54,$A$4:$A$1711^$B$4:$B$1711,$D$4:$D$1711,NA(),0,1)</f>
        <v>2773</v>
      </c>
      <c r="AF54" s="5" cm="1">
        <f t="array" ref="AF54">_xlfn.XLOOKUP(AF$5^$H54,$A$4:$A$1711^$B$4:$B$1711,$D$4:$D$1711,NA(),0,1)</f>
        <v>3411</v>
      </c>
      <c r="AG54" s="5" cm="1">
        <f t="array" ref="AG54">_xlfn.XLOOKUP(AG$5^$H54,$A$4:$A$1711^$B$4:$B$1711,$D$4:$D$1711,NA(),0,1)</f>
        <v>3726</v>
      </c>
      <c r="AH54" s="5" cm="1">
        <f t="array" ref="AH54">_xlfn.XLOOKUP(AH$5^$H54,$A$4:$A$1711^$B$4:$B$1711,$D$4:$D$1711,NA(),0,1)</f>
        <v>3417</v>
      </c>
      <c r="AI54" s="5" cm="1">
        <f t="array" ref="AI54">_xlfn.XLOOKUP(AI$5^$H54,$A$4:$A$1711^$B$4:$B$1711,$D$4:$D$1711,NA(),0,1)</f>
        <v>3412</v>
      </c>
      <c r="AJ54" s="5" cm="1">
        <f t="array" ref="AJ54">_xlfn.XLOOKUP(AJ$5^$H54,$A$4:$A$1711^$B$4:$B$1711,$D$4:$D$1711,NA(),0,1)</f>
        <v>3577</v>
      </c>
      <c r="AK54" s="5" cm="1">
        <f t="array" ref="AK54">_xlfn.XLOOKUP(AK$5^$H54,$A$4:$A$1711^$B$4:$B$1711,$D$4:$D$1711,NA(),0,1)</f>
        <v>3622</v>
      </c>
      <c r="AL54" s="5" cm="1">
        <f t="array" ref="AL54">_xlfn.XLOOKUP(AL$5^$H54,$A$4:$A$1711^$B$4:$B$1711,$D$4:$D$1711,NA(),0,1)</f>
        <v>3569</v>
      </c>
      <c r="AM54" s="5" t="e" cm="1">
        <f t="array" ref="AM54">_xlfn.XLOOKUP(AM$5^$H54,$A$4:$A$1711^$B$4:$B$1711,$D$4:$D$1711,NA(),0,1)</f>
        <v>#N/A</v>
      </c>
    </row>
    <row r="55" spans="1:39" x14ac:dyDescent="0.25">
      <c r="A55" s="5">
        <f t="shared" si="0"/>
        <v>1994</v>
      </c>
      <c r="B55" s="5">
        <f t="shared" si="1"/>
        <v>53</v>
      </c>
      <c r="C55" s="2">
        <v>34698</v>
      </c>
      <c r="D55" s="1">
        <v>2632</v>
      </c>
      <c r="H55" s="5">
        <f t="shared" si="3"/>
        <v>51</v>
      </c>
      <c r="I55" s="5" cm="1">
        <f t="array" ref="I55">_xlfn.XLOOKUP(I$5^$H55,$A$4:$A$1711^B53:B1760,D53:D1760,NA(),0,1)</f>
        <v>2310</v>
      </c>
      <c r="J55" s="5" cm="1">
        <f t="array" ref="J55">_xlfn.XLOOKUP(J$5^$H55,$A$4:$A$1711^$B$4:$B$1711,$D$4:$D$1711,NA(),0,1)</f>
        <v>2371</v>
      </c>
      <c r="K55" s="5" cm="1">
        <f t="array" ref="K55">_xlfn.XLOOKUP(K$5^$H55,$A$4:$A$1711^$B$4:$B$1711,$D$4:$D$1711,NA(),0,1)</f>
        <v>3038</v>
      </c>
      <c r="L55" s="5" cm="1">
        <f t="array" ref="L55">_xlfn.XLOOKUP(L$5^$H55,$A$4:$A$1711^$B$4:$B$1711,$D$4:$D$1711,NA(),0,1)</f>
        <v>2843</v>
      </c>
      <c r="M55" s="5" cm="1">
        <f t="array" ref="M55">_xlfn.XLOOKUP(M$5^$H55,$A$4:$A$1711^$B$4:$B$1711,$D$4:$D$1711,NA(),0,1)</f>
        <v>2140</v>
      </c>
      <c r="N55" s="5" cm="1">
        <f t="array" ref="N55">_xlfn.XLOOKUP(N$5^$H55,$A$4:$A$1711^$B$4:$B$1711,$D$4:$D$1711,NA(),0,1)</f>
        <v>3115</v>
      </c>
      <c r="O55" s="5" cm="1">
        <f t="array" ref="O55">_xlfn.XLOOKUP(O$5^$H55,$A$4:$A$1711^$B$4:$B$1711,$D$4:$D$1711,NA(),0,1)</f>
        <v>2540</v>
      </c>
      <c r="P55" s="5" cm="1">
        <f t="array" ref="P55">_xlfn.XLOOKUP(P$5^$H55,$A$4:$A$1711^$B$4:$B$1711,$D$4:$D$1711,NA(),0,1)</f>
        <v>2699</v>
      </c>
      <c r="Q55" s="5" cm="1">
        <f t="array" ref="Q55">_xlfn.XLOOKUP(Q$5^$H55,$A$4:$A$1711^$B$4:$B$1711,$D$4:$D$1711,NA(),0,1)</f>
        <v>3027</v>
      </c>
      <c r="R55" s="5" cm="1">
        <f t="array" ref="R55">_xlfn.XLOOKUP(R$5^$H55,$A$4:$A$1711^$B$4:$B$1711,$D$4:$D$1711,NA(),0,1)</f>
        <v>2802</v>
      </c>
      <c r="S55" s="5" cm="1">
        <f t="array" ref="S55">_xlfn.XLOOKUP(S$5^$H55,$A$4:$A$1711^$B$4:$B$1711,$D$4:$D$1711,NA(),0,1)</f>
        <v>3121</v>
      </c>
      <c r="T55" s="5" cm="1">
        <f t="array" ref="T55">_xlfn.XLOOKUP(T$5^$H55,$A$4:$A$1711^$B$4:$B$1711,$D$4:$D$1711,NA(),0,1)</f>
        <v>3008</v>
      </c>
      <c r="U55" s="5" cm="1">
        <f t="array" ref="U55">_xlfn.XLOOKUP(U$5^$H55,$A$4:$A$1711^$B$4:$B$1711,$D$4:$D$1711,NA(),0,1)</f>
        <v>3020</v>
      </c>
      <c r="V55" s="5" cm="1">
        <f t="array" ref="V55">_xlfn.XLOOKUP(V$5^$H55,$A$4:$A$1711^$B$4:$B$1711,$D$4:$D$1711,NA(),0,1)</f>
        <v>3400</v>
      </c>
      <c r="W55" s="5" cm="1">
        <f t="array" ref="W55">_xlfn.XLOOKUP(W$5^$H55,$A$4:$A$1711^$B$4:$B$1711,$D$4:$D$1711,NA(),0,1)</f>
        <v>3369</v>
      </c>
      <c r="X55" s="5" cm="1">
        <f t="array" ref="X55">_xlfn.XLOOKUP(X$5^$H55,$A$4:$A$1711^$B$4:$B$1711,$D$4:$D$1711,NA(),0,1)</f>
        <v>3628</v>
      </c>
      <c r="Y55" s="5" cm="1">
        <f t="array" ref="Y55">_xlfn.XLOOKUP(Y$5^$H55,$A$4:$A$1711^$B$4:$B$1711,$D$4:$D$1711,NA(),0,1)</f>
        <v>3653</v>
      </c>
      <c r="Z55" s="5" cm="1">
        <f t="array" ref="Z55">_xlfn.XLOOKUP(Z$5^$H55,$A$4:$A$1711^$B$4:$B$1711,$D$4:$D$1711,NA(),0,1)</f>
        <v>3071</v>
      </c>
      <c r="AA55" s="5" cm="1">
        <f t="array" ref="AA55">_xlfn.XLOOKUP(AA$5^$H55,$A$4:$A$1711^$B$4:$B$1711,$D$4:$D$1711,NA(),0,1)</f>
        <v>3246</v>
      </c>
      <c r="AB55" s="5" cm="1">
        <f t="array" ref="AB55">_xlfn.XLOOKUP(AB$5^$H55,$A$4:$A$1711^$B$4:$B$1711,$D$4:$D$1711,NA(),0,1)</f>
        <v>3814</v>
      </c>
      <c r="AC55" s="5" cm="1">
        <f t="array" ref="AC55">_xlfn.XLOOKUP(AC$5^$H55,$A$4:$A$1711^$B$4:$B$1711,$D$4:$D$1711,NA(),0,1)</f>
        <v>3597</v>
      </c>
      <c r="AD55" s="5" cm="1">
        <f t="array" ref="AD55">_xlfn.XLOOKUP(AD$5^$H55,$A$4:$A$1711^$B$4:$B$1711,$D$4:$D$1711,NA(),0,1)</f>
        <v>3332</v>
      </c>
      <c r="AE55" s="5" cm="1">
        <f t="array" ref="AE55">_xlfn.XLOOKUP(AE$5^$H55,$A$4:$A$1711^$B$4:$B$1711,$D$4:$D$1711,NA(),0,1)</f>
        <v>2725</v>
      </c>
      <c r="AF55" s="5" cm="1">
        <f t="array" ref="AF55">_xlfn.XLOOKUP(AF$5^$H55,$A$4:$A$1711^$B$4:$B$1711,$D$4:$D$1711,NA(),0,1)</f>
        <v>3250</v>
      </c>
      <c r="AG55" s="5" cm="1">
        <f t="array" ref="AG55">_xlfn.XLOOKUP(AG$5^$H55,$A$4:$A$1711^$B$4:$B$1711,$D$4:$D$1711,NA(),0,1)</f>
        <v>3574</v>
      </c>
      <c r="AH55" s="5" cm="1">
        <f t="array" ref="AH55">_xlfn.XLOOKUP(AH$5^$H55,$A$4:$A$1711^$B$4:$B$1711,$D$4:$D$1711,NA(),0,1)</f>
        <v>3362</v>
      </c>
      <c r="AI55" s="5" cm="1">
        <f t="array" ref="AI55">_xlfn.XLOOKUP(AI$5^$H55,$A$4:$A$1711^$B$4:$B$1711,$D$4:$D$1711,NA(),0,1)</f>
        <v>3325</v>
      </c>
      <c r="AJ55" s="5" cm="1">
        <f t="array" ref="AJ55">_xlfn.XLOOKUP(AJ$5^$H55,$A$4:$A$1711^$B$4:$B$1711,$D$4:$D$1711,NA(),0,1)</f>
        <v>3490</v>
      </c>
      <c r="AK55" s="5" cm="1">
        <f t="array" ref="AK55">_xlfn.XLOOKUP(AK$5^$H55,$A$4:$A$1711^$B$4:$B$1711,$D$4:$D$1711,NA(),0,1)</f>
        <v>3529</v>
      </c>
      <c r="AL55" s="5" cm="1">
        <f t="array" ref="AL55">_xlfn.XLOOKUP(AL$5^$H55,$A$4:$A$1711^$B$4:$B$1711,$D$4:$D$1711,NA(),0,1)</f>
        <v>3401</v>
      </c>
      <c r="AM55" s="5" t="e" cm="1">
        <f t="array" ref="AM55">_xlfn.XLOOKUP(AM$5^$H55,$A$4:$A$1711^$B$4:$B$1711,$D$4:$D$1711,NA(),0,1)</f>
        <v>#N/A</v>
      </c>
    </row>
    <row r="56" spans="1:39" x14ac:dyDescent="0.25">
      <c r="A56" s="5">
        <f t="shared" si="0"/>
        <v>1995</v>
      </c>
      <c r="B56" s="5">
        <f t="shared" si="1"/>
        <v>1</v>
      </c>
      <c r="C56" s="2">
        <v>34705</v>
      </c>
      <c r="D56" s="1">
        <v>2450</v>
      </c>
      <c r="H56" s="5">
        <f t="shared" si="3"/>
        <v>52</v>
      </c>
      <c r="I56" s="5" cm="1">
        <f t="array" ref="I56">_xlfn.XLOOKUP(I$5^$H56,$A$4:$A$1711^B54:B1761,D54:D1761,NA(),0,1)</f>
        <v>2180</v>
      </c>
      <c r="J56" s="5" cm="1">
        <f t="array" ref="J56">_xlfn.XLOOKUP(J$5^$H56,$A$4:$A$1711^$B$4:$B$1711,$D$4:$D$1711,NA(),0,1)</f>
        <v>2271</v>
      </c>
      <c r="K56" s="5" cm="1">
        <f t="array" ref="K56">_xlfn.XLOOKUP(K$5^$H56,$A$4:$A$1711^$B$4:$B$1711,$D$4:$D$1711,NA(),0,1)</f>
        <v>2870</v>
      </c>
      <c r="L56" s="5" cm="1">
        <f t="array" ref="L56">_xlfn.XLOOKUP(L$5^$H56,$A$4:$A$1711^$B$4:$B$1711,$D$4:$D$1711,NA(),0,1)</f>
        <v>2663</v>
      </c>
      <c r="M56" s="5" cm="1">
        <f t="array" ref="M56">_xlfn.XLOOKUP(M$5^$H56,$A$4:$A$1711^$B$4:$B$1711,$D$4:$D$1711,NA(),0,1)</f>
        <v>1973</v>
      </c>
      <c r="N56" s="5" cm="1">
        <f t="array" ref="N56">_xlfn.XLOOKUP(N$5^$H56,$A$4:$A$1711^$B$4:$B$1711,$D$4:$D$1711,NA(),0,1)</f>
        <v>2989</v>
      </c>
      <c r="O56" s="5" cm="1">
        <f t="array" ref="O56">_xlfn.XLOOKUP(O$5^$H56,$A$4:$A$1711^$B$4:$B$1711,$D$4:$D$1711,NA(),0,1)</f>
        <v>2417</v>
      </c>
      <c r="P56" s="5" cm="1">
        <f t="array" ref="P56">_xlfn.XLOOKUP(P$5^$H56,$A$4:$A$1711^$B$4:$B$1711,$D$4:$D$1711,NA(),0,1)</f>
        <v>2619</v>
      </c>
      <c r="Q56" s="5" cm="1">
        <f t="array" ref="Q56">_xlfn.XLOOKUP(Q$5^$H56,$A$4:$A$1711^$B$4:$B$1711,$D$4:$D$1711,NA(),0,1)</f>
        <v>2849</v>
      </c>
      <c r="R56" s="5" cm="1">
        <f t="array" ref="R56">_xlfn.XLOOKUP(R$5^$H56,$A$4:$A$1711^$B$4:$B$1711,$D$4:$D$1711,NA(),0,1)</f>
        <v>2640</v>
      </c>
      <c r="S56" s="5" cm="1">
        <f t="array" ref="S56">_xlfn.XLOOKUP(S$5^$H56,$A$4:$A$1711^$B$4:$B$1711,$D$4:$D$1711,NA(),0,1)</f>
        <v>3074</v>
      </c>
      <c r="T56" s="5" cm="1">
        <f t="array" ref="T56">_xlfn.XLOOKUP(T$5^$H56,$A$4:$A$1711^$B$4:$B$1711,$D$4:$D$1711,NA(),0,1)</f>
        <v>2921</v>
      </c>
      <c r="U56" s="5" cm="1">
        <f t="array" ref="U56">_xlfn.XLOOKUP(U$5^$H56,$A$4:$A$1711^$B$4:$B$1711,$D$4:$D$1711,NA(),0,1)</f>
        <v>2877</v>
      </c>
      <c r="V56" s="5" cm="1">
        <f t="array" ref="V56">_xlfn.XLOOKUP(V$5^$H56,$A$4:$A$1711^$B$4:$B$1711,$D$4:$D$1711,NA(),0,1)</f>
        <v>3276</v>
      </c>
      <c r="W56" s="5" cm="1">
        <f t="array" ref="W56">_xlfn.XLOOKUP(W$5^$H56,$A$4:$A$1711^$B$4:$B$1711,$D$4:$D$1711,NA(),0,1)</f>
        <v>3232</v>
      </c>
      <c r="X56" s="5" cm="1">
        <f t="array" ref="X56">_xlfn.XLOOKUP(X$5^$H56,$A$4:$A$1711^$B$4:$B$1711,$D$4:$D$1711,NA(),0,1)</f>
        <v>3548</v>
      </c>
      <c r="Y56" s="5" cm="1">
        <f t="array" ref="Y56">_xlfn.XLOOKUP(Y$5^$H56,$A$4:$A$1711^$B$4:$B$1711,$D$4:$D$1711,NA(),0,1)</f>
        <v>3517</v>
      </c>
      <c r="Z56" s="5" cm="1">
        <f t="array" ref="Z56">_xlfn.XLOOKUP(Z$5^$H56,$A$4:$A$1711^$B$4:$B$1711,$D$4:$D$1711,NA(),0,1)</f>
        <v>2975</v>
      </c>
      <c r="AA56" s="5" cm="1">
        <f t="array" ref="AA56">_xlfn.XLOOKUP(AA$5^$H56,$A$4:$A$1711^$B$4:$B$1711,$D$4:$D$1711,NA(),0,1)</f>
        <v>3220</v>
      </c>
      <c r="AB56" s="5" cm="1">
        <f t="array" ref="AB56">_xlfn.XLOOKUP(AB$5^$H56,$A$4:$A$1711^$B$4:$B$1711,$D$4:$D$1711,NA(),0,1)</f>
        <v>3756</v>
      </c>
      <c r="AC56" s="5" cm="1">
        <f t="array" ref="AC56">_xlfn.XLOOKUP(AC$5^$H56,$A$4:$A$1711^$B$4:$B$1711,$D$4:$D$1711,NA(),0,1)</f>
        <v>3360</v>
      </c>
      <c r="AD56" s="5" cm="1">
        <f t="array" ref="AD56">_xlfn.XLOOKUP(AD$5^$H56,$A$4:$A$1711^$B$4:$B$1711,$D$4:$D$1711,NA(),0,1)</f>
        <v>3126</v>
      </c>
      <c r="AE56" s="5" cm="1">
        <f t="array" ref="AE56">_xlfn.XLOOKUP(AE$5^$H56,$A$4:$A$1711^$B$4:$B$1711,$D$4:$D$1711,NA(),0,1)</f>
        <v>2705</v>
      </c>
      <c r="AF56" s="5" cm="1">
        <f t="array" ref="AF56">_xlfn.XLOOKUP(AF$5^$H56,$A$4:$A$1711^$B$4:$B$1711,$D$4:$D$1711,NA(),0,1)</f>
        <v>3192</v>
      </c>
      <c r="AG56" s="5" cm="1">
        <f t="array" ref="AG56">_xlfn.XLOOKUP(AG$5^$H56,$A$4:$A$1711^$B$4:$B$1711,$D$4:$D$1711,NA(),0,1)</f>
        <v>3460</v>
      </c>
      <c r="AH56" s="5" cm="1">
        <f t="array" ref="AH56">_xlfn.XLOOKUP(AH$5^$H56,$A$4:$A$1711^$B$4:$B$1711,$D$4:$D$1711,NA(),0,1)</f>
        <v>3226</v>
      </c>
      <c r="AI56" s="5" cm="1">
        <f t="array" ref="AI56">_xlfn.XLOOKUP(AI$5^$H56,$A$4:$A$1711^$B$4:$B$1711,$D$4:$D$1711,NA(),0,1)</f>
        <v>3112</v>
      </c>
      <c r="AJ56" s="5" cm="1">
        <f t="array" ref="AJ56">_xlfn.XLOOKUP(AJ$5^$H56,$A$4:$A$1711^$B$4:$B$1711,$D$4:$D$1711,NA(),0,1)</f>
        <v>3476</v>
      </c>
      <c r="AK56" s="5" cm="1">
        <f t="array" ref="AK56">_xlfn.XLOOKUP(AK$5^$H56,$A$4:$A$1711^$B$4:$B$1711,$D$4:$D$1711,NA(),0,1)</f>
        <v>3413</v>
      </c>
      <c r="AL56" s="5" cm="1">
        <f t="array" ref="AL56">_xlfn.XLOOKUP(AL$5^$H56,$A$4:$A$1711^$B$4:$B$1711,$D$4:$D$1711,NA(),0,1)</f>
        <v>3364</v>
      </c>
      <c r="AM56" s="5" t="e" cm="1">
        <f t="array" ref="AM56">_xlfn.XLOOKUP(AM$5^$H56,$A$4:$A$1711^$B$4:$B$1711,$D$4:$D$1711,NA(),0,1)</f>
        <v>#N/A</v>
      </c>
    </row>
    <row r="57" spans="1:39" x14ac:dyDescent="0.25">
      <c r="A57" s="5">
        <f t="shared" si="0"/>
        <v>1995</v>
      </c>
      <c r="B57" s="5">
        <f t="shared" si="1"/>
        <v>2</v>
      </c>
      <c r="C57" s="2">
        <v>34712</v>
      </c>
      <c r="D57" s="1">
        <v>2339</v>
      </c>
      <c r="H57" s="5"/>
    </row>
    <row r="58" spans="1:39" x14ac:dyDescent="0.25">
      <c r="A58" s="5">
        <f t="shared" si="0"/>
        <v>1995</v>
      </c>
      <c r="B58" s="5">
        <f t="shared" si="1"/>
        <v>3</v>
      </c>
      <c r="C58" s="2">
        <v>34719</v>
      </c>
      <c r="D58" s="1">
        <v>2283</v>
      </c>
    </row>
    <row r="59" spans="1:39" x14ac:dyDescent="0.25">
      <c r="A59" s="5">
        <f t="shared" si="0"/>
        <v>1995</v>
      </c>
      <c r="B59" s="5">
        <f t="shared" si="1"/>
        <v>4</v>
      </c>
      <c r="C59" s="2">
        <v>34726</v>
      </c>
      <c r="D59" s="1">
        <v>2124</v>
      </c>
    </row>
    <row r="60" spans="1:39" x14ac:dyDescent="0.25">
      <c r="A60" s="5">
        <f t="shared" si="0"/>
        <v>1995</v>
      </c>
      <c r="B60" s="5">
        <f t="shared" si="1"/>
        <v>5</v>
      </c>
      <c r="C60" s="2">
        <v>34733</v>
      </c>
      <c r="D60" s="1">
        <v>1998</v>
      </c>
      <c r="H60" s="5"/>
      <c r="I60" s="5">
        <v>1996</v>
      </c>
      <c r="J60" s="5">
        <f>I60+1</f>
        <v>1997</v>
      </c>
      <c r="K60" s="5">
        <f t="shared" ref="K60:AM60" si="4">J60+1</f>
        <v>1998</v>
      </c>
      <c r="L60" s="5">
        <f t="shared" si="4"/>
        <v>1999</v>
      </c>
      <c r="M60" s="5">
        <f t="shared" si="4"/>
        <v>2000</v>
      </c>
      <c r="N60" s="5">
        <f t="shared" si="4"/>
        <v>2001</v>
      </c>
      <c r="O60" s="5">
        <f t="shared" si="4"/>
        <v>2002</v>
      </c>
      <c r="P60" s="5">
        <f t="shared" si="4"/>
        <v>2003</v>
      </c>
      <c r="Q60" s="5">
        <f t="shared" si="4"/>
        <v>2004</v>
      </c>
      <c r="R60" s="5">
        <f t="shared" si="4"/>
        <v>2005</v>
      </c>
      <c r="S60" s="5">
        <f t="shared" si="4"/>
        <v>2006</v>
      </c>
      <c r="T60" s="5">
        <f t="shared" si="4"/>
        <v>2007</v>
      </c>
      <c r="U60" s="5">
        <f t="shared" si="4"/>
        <v>2008</v>
      </c>
      <c r="V60" s="5">
        <f t="shared" si="4"/>
        <v>2009</v>
      </c>
      <c r="W60" s="5">
        <f t="shared" si="4"/>
        <v>2010</v>
      </c>
      <c r="X60" s="5">
        <f t="shared" si="4"/>
        <v>2011</v>
      </c>
      <c r="Y60" s="5">
        <f t="shared" si="4"/>
        <v>2012</v>
      </c>
      <c r="Z60" s="5">
        <f t="shared" si="4"/>
        <v>2013</v>
      </c>
      <c r="AA60" s="5">
        <f t="shared" si="4"/>
        <v>2014</v>
      </c>
      <c r="AB60" s="5">
        <f t="shared" si="4"/>
        <v>2015</v>
      </c>
      <c r="AC60" s="5">
        <f t="shared" si="4"/>
        <v>2016</v>
      </c>
      <c r="AD60" s="5">
        <f t="shared" si="4"/>
        <v>2017</v>
      </c>
      <c r="AE60" s="5">
        <f t="shared" si="4"/>
        <v>2018</v>
      </c>
      <c r="AF60" s="5">
        <f t="shared" si="4"/>
        <v>2019</v>
      </c>
      <c r="AG60" s="5">
        <f t="shared" si="4"/>
        <v>2020</v>
      </c>
      <c r="AH60" s="5">
        <f t="shared" si="4"/>
        <v>2021</v>
      </c>
      <c r="AI60" s="5">
        <f t="shared" si="4"/>
        <v>2022</v>
      </c>
      <c r="AJ60" s="5">
        <f t="shared" si="4"/>
        <v>2023</v>
      </c>
      <c r="AK60" s="5">
        <f t="shared" si="4"/>
        <v>2024</v>
      </c>
      <c r="AL60" s="5">
        <f t="shared" si="4"/>
        <v>2025</v>
      </c>
      <c r="AM60" s="5">
        <f t="shared" si="4"/>
        <v>2026</v>
      </c>
    </row>
    <row r="61" spans="1:39" x14ac:dyDescent="0.25">
      <c r="A61" s="5">
        <f t="shared" si="0"/>
        <v>1995</v>
      </c>
      <c r="B61" s="5">
        <f t="shared" si="1"/>
        <v>6</v>
      </c>
      <c r="C61" s="2">
        <v>34740</v>
      </c>
      <c r="D61" s="1">
        <v>1824</v>
      </c>
      <c r="H61" s="5">
        <v>2</v>
      </c>
      <c r="I61" s="5"/>
      <c r="J61" s="8">
        <f>J6/I6-1</f>
        <v>0.10309829059829068</v>
      </c>
      <c r="K61" s="8">
        <f t="shared" ref="K61:AM61" si="5">K6/J6-1</f>
        <v>2.2276029055690039E-2</v>
      </c>
      <c r="L61" s="8">
        <f t="shared" si="5"/>
        <v>0.17100900047370904</v>
      </c>
      <c r="M61" s="8">
        <f t="shared" si="5"/>
        <v>-2.1844660194174748E-2</v>
      </c>
      <c r="N61" s="8">
        <f t="shared" si="5"/>
        <v>-0.36931348221670801</v>
      </c>
      <c r="O61" s="8">
        <f t="shared" si="5"/>
        <v>0.73639344262295081</v>
      </c>
      <c r="P61" s="8">
        <f t="shared" si="5"/>
        <v>-0.17107250755287007</v>
      </c>
      <c r="Q61" s="8">
        <f t="shared" si="5"/>
        <v>9.9772209567198233E-2</v>
      </c>
      <c r="R61" s="8">
        <f t="shared" si="5"/>
        <v>8.1193040596520216E-2</v>
      </c>
      <c r="S61" s="8">
        <f t="shared" si="5"/>
        <v>-1.3409961685823757E-2</v>
      </c>
      <c r="T61" s="8">
        <f t="shared" si="5"/>
        <v>0.14019417475728146</v>
      </c>
      <c r="U61" s="8">
        <f t="shared" si="5"/>
        <v>-8.3446866485013649E-2</v>
      </c>
      <c r="V61" s="8">
        <f t="shared" si="5"/>
        <v>1.6722408026755842E-2</v>
      </c>
      <c r="W61" s="8">
        <f t="shared" si="5"/>
        <v>4.1666666666666741E-2</v>
      </c>
      <c r="X61" s="8">
        <f t="shared" si="5"/>
        <v>3.8596491228070073E-2</v>
      </c>
      <c r="Y61" s="8">
        <f t="shared" si="5"/>
        <v>0.1114864864864864</v>
      </c>
      <c r="Z61" s="8">
        <f t="shared" si="5"/>
        <v>-3.7386018237082097E-2</v>
      </c>
      <c r="AA61" s="8">
        <f t="shared" si="5"/>
        <v>-0.20145247868645411</v>
      </c>
      <c r="AB61" s="8">
        <f t="shared" si="5"/>
        <v>0.12850929221035989</v>
      </c>
      <c r="AC61" s="8">
        <f t="shared" si="5"/>
        <v>0.21758934828311149</v>
      </c>
      <c r="AD61" s="8">
        <f t="shared" si="5"/>
        <v>-0.16057553956834536</v>
      </c>
      <c r="AE61" s="8">
        <f t="shared" si="5"/>
        <v>-0.11415838189921157</v>
      </c>
      <c r="AF61" s="8">
        <f t="shared" si="5"/>
        <v>-1.9736842105263164E-2</v>
      </c>
      <c r="AG61" s="8">
        <f t="shared" si="5"/>
        <v>0.19976312672720087</v>
      </c>
      <c r="AH61" s="8">
        <f t="shared" si="5"/>
        <v>5.1661730832510688E-2</v>
      </c>
      <c r="AI61" s="8">
        <f t="shared" si="5"/>
        <v>-5.6320400500625811E-2</v>
      </c>
      <c r="AJ61" s="8">
        <f t="shared" si="5"/>
        <v>-6.4986737400530514E-2</v>
      </c>
      <c r="AK61" s="8">
        <f t="shared" si="5"/>
        <v>0.12836879432624104</v>
      </c>
      <c r="AL61" s="8">
        <f t="shared" si="5"/>
        <v>-2.1055939660590828E-2</v>
      </c>
      <c r="AM61" s="8">
        <f t="shared" si="5"/>
        <v>1.8940609951845877E-2</v>
      </c>
    </row>
    <row r="62" spans="1:39" x14ac:dyDescent="0.25">
      <c r="A62" s="5">
        <f t="shared" si="0"/>
        <v>1995</v>
      </c>
      <c r="B62" s="5">
        <f t="shared" si="1"/>
        <v>7</v>
      </c>
      <c r="C62" s="2">
        <v>34747</v>
      </c>
      <c r="D62" s="1">
        <v>1628</v>
      </c>
      <c r="H62" s="5">
        <f>H61+1</f>
        <v>3</v>
      </c>
      <c r="I62" s="5"/>
      <c r="J62" s="8">
        <f t="shared" ref="J62:AM62" si="6">J7/I7-1</f>
        <v>1.6901408450704203E-2</v>
      </c>
      <c r="K62" s="8">
        <f t="shared" si="6"/>
        <v>8.4210526315789513E-2</v>
      </c>
      <c r="L62" s="8">
        <f t="shared" si="6"/>
        <v>0.15738375063873278</v>
      </c>
      <c r="M62" s="8">
        <f t="shared" si="6"/>
        <v>1.9867549668874274E-2</v>
      </c>
      <c r="N62" s="8">
        <f t="shared" si="6"/>
        <v>-0.37142857142857144</v>
      </c>
      <c r="O62" s="8">
        <f t="shared" si="6"/>
        <v>0.73691460055096414</v>
      </c>
      <c r="P62" s="8">
        <f t="shared" si="6"/>
        <v>-0.21649484536082475</v>
      </c>
      <c r="Q62" s="8">
        <f t="shared" si="6"/>
        <v>0.14271255060728749</v>
      </c>
      <c r="R62" s="8">
        <f t="shared" si="6"/>
        <v>0.10717449069973428</v>
      </c>
      <c r="S62" s="8">
        <f t="shared" si="6"/>
        <v>-2.3999999999999577E-3</v>
      </c>
      <c r="T62" s="8">
        <f t="shared" si="6"/>
        <v>0.10545308740978343</v>
      </c>
      <c r="U62" s="8">
        <f t="shared" si="6"/>
        <v>-8.0159593761334746E-2</v>
      </c>
      <c r="V62" s="8">
        <f t="shared" si="6"/>
        <v>9.4637223974762819E-3</v>
      </c>
      <c r="W62" s="8">
        <f t="shared" si="6"/>
        <v>1.8359374999999956E-2</v>
      </c>
      <c r="X62" s="8">
        <f t="shared" si="6"/>
        <v>4.181051016494064E-2</v>
      </c>
      <c r="Y62" s="8">
        <f t="shared" si="6"/>
        <v>0.14064801178203234</v>
      </c>
      <c r="Z62" s="8">
        <f t="shared" si="6"/>
        <v>-3.2924467398321444E-2</v>
      </c>
      <c r="AA62" s="8">
        <f t="shared" si="6"/>
        <v>-0.19092122830440583</v>
      </c>
      <c r="AB62" s="8">
        <f t="shared" si="6"/>
        <v>8.7871287128712838E-2</v>
      </c>
      <c r="AC62" s="8">
        <f t="shared" si="6"/>
        <v>0.2502844141069398</v>
      </c>
      <c r="AD62" s="8">
        <f t="shared" si="6"/>
        <v>-0.15134971185926605</v>
      </c>
      <c r="AE62" s="8">
        <f t="shared" si="6"/>
        <v>-0.17941386704789131</v>
      </c>
      <c r="AF62" s="8">
        <f t="shared" si="6"/>
        <v>3.2229965156794327E-2</v>
      </c>
      <c r="AG62" s="8">
        <f t="shared" si="6"/>
        <v>0.24345991561181424</v>
      </c>
      <c r="AH62" s="8">
        <f t="shared" si="6"/>
        <v>2.1038344078724069E-2</v>
      </c>
      <c r="AI62" s="8">
        <f t="shared" si="6"/>
        <v>-6.6134928547690208E-2</v>
      </c>
      <c r="AJ62" s="8">
        <f t="shared" si="6"/>
        <v>-2.7046263345195776E-2</v>
      </c>
      <c r="AK62" s="8">
        <f t="shared" si="6"/>
        <v>4.4623262618873394E-2</v>
      </c>
      <c r="AL62" s="8">
        <f t="shared" si="6"/>
        <v>1.2605042016806678E-2</v>
      </c>
      <c r="AM62" s="8">
        <f t="shared" si="6"/>
        <v>5.6016597510373467E-2</v>
      </c>
    </row>
    <row r="63" spans="1:39" x14ac:dyDescent="0.25">
      <c r="A63" s="5">
        <f t="shared" si="0"/>
        <v>1995</v>
      </c>
      <c r="B63" s="5">
        <f t="shared" si="1"/>
        <v>8</v>
      </c>
      <c r="C63" s="2">
        <v>34754</v>
      </c>
      <c r="D63" s="1">
        <v>1604</v>
      </c>
      <c r="H63" s="5">
        <f t="shared" ref="H63:H111" si="7">H62+1</f>
        <v>4</v>
      </c>
      <c r="I63" s="5"/>
      <c r="J63" s="8">
        <f t="shared" ref="J63:AM63" si="8">J8/I8-1</f>
        <v>2.4721878862793645E-2</v>
      </c>
      <c r="K63" s="8">
        <f t="shared" si="8"/>
        <v>9.9517490952955479E-2</v>
      </c>
      <c r="L63" s="8">
        <f t="shared" si="8"/>
        <v>0.19199122325836537</v>
      </c>
      <c r="M63" s="8">
        <f t="shared" si="8"/>
        <v>-2.945236999539802E-2</v>
      </c>
      <c r="N63" s="8">
        <f t="shared" si="8"/>
        <v>-0.36794689426268379</v>
      </c>
      <c r="O63" s="8">
        <f t="shared" si="8"/>
        <v>0.80795198799699919</v>
      </c>
      <c r="P63" s="8">
        <f t="shared" si="8"/>
        <v>-0.28257261410788381</v>
      </c>
      <c r="Q63" s="8">
        <f t="shared" si="8"/>
        <v>0.19317524580682477</v>
      </c>
      <c r="R63" s="8">
        <f t="shared" si="8"/>
        <v>0.10033931168201637</v>
      </c>
      <c r="S63" s="8">
        <f t="shared" si="8"/>
        <v>5.9911894273127819E-2</v>
      </c>
      <c r="T63" s="8">
        <f t="shared" si="8"/>
        <v>6.8578553615959992E-2</v>
      </c>
      <c r="U63" s="8">
        <f t="shared" si="8"/>
        <v>-0.12018669778296387</v>
      </c>
      <c r="V63" s="8">
        <f t="shared" si="8"/>
        <v>4.9513704686118487E-2</v>
      </c>
      <c r="W63" s="8">
        <f t="shared" si="8"/>
        <v>6.1920808761583901E-2</v>
      </c>
      <c r="X63" s="8">
        <f t="shared" si="8"/>
        <v>8.726695755652436E-3</v>
      </c>
      <c r="Y63" s="8">
        <f t="shared" si="8"/>
        <v>0.1663389697208022</v>
      </c>
      <c r="Z63" s="8">
        <f t="shared" si="8"/>
        <v>-5.5293324342548855E-2</v>
      </c>
      <c r="AA63" s="8">
        <f t="shared" si="8"/>
        <v>-0.22055674518201285</v>
      </c>
      <c r="AB63" s="8">
        <f t="shared" si="8"/>
        <v>0.16437728937728946</v>
      </c>
      <c r="AC63" s="8">
        <f t="shared" si="8"/>
        <v>0.21352732992528511</v>
      </c>
      <c r="AD63" s="8">
        <f t="shared" si="8"/>
        <v>-0.1215165262475697</v>
      </c>
      <c r="AE63" s="8">
        <f t="shared" si="8"/>
        <v>-0.18959793434157135</v>
      </c>
      <c r="AF63" s="8">
        <f t="shared" si="8"/>
        <v>0</v>
      </c>
      <c r="AG63" s="8">
        <f t="shared" si="8"/>
        <v>0.24988620846609022</v>
      </c>
      <c r="AH63" s="8">
        <f t="shared" si="8"/>
        <v>4.9162418062636659E-2</v>
      </c>
      <c r="AI63" s="8">
        <f t="shared" si="8"/>
        <v>-0.10065949323151679</v>
      </c>
      <c r="AJ63" s="8">
        <f t="shared" si="8"/>
        <v>-3.0876109610189495E-3</v>
      </c>
      <c r="AK63" s="8">
        <f t="shared" si="8"/>
        <v>2.9423151374370793E-2</v>
      </c>
      <c r="AL63" s="8">
        <f t="shared" si="8"/>
        <v>-3.3095148552087283E-2</v>
      </c>
      <c r="AM63" s="8">
        <f t="shared" si="8"/>
        <v>9.4126798910929566E-2</v>
      </c>
    </row>
    <row r="64" spans="1:39" x14ac:dyDescent="0.25">
      <c r="A64" s="5">
        <f t="shared" si="0"/>
        <v>1995</v>
      </c>
      <c r="B64" s="5">
        <f t="shared" si="1"/>
        <v>9</v>
      </c>
      <c r="C64" s="2">
        <v>34761</v>
      </c>
      <c r="D64" s="1">
        <v>1488</v>
      </c>
      <c r="H64" s="5">
        <f t="shared" si="7"/>
        <v>5</v>
      </c>
      <c r="I64" s="5"/>
      <c r="J64" s="8">
        <f t="shared" ref="J64:AM64" si="9">J9/I9-1</f>
        <v>6.1745919091554358E-2</v>
      </c>
      <c r="K64" s="8">
        <f t="shared" si="9"/>
        <v>0.15240641711229941</v>
      </c>
      <c r="L64" s="8">
        <f t="shared" si="9"/>
        <v>0.21751740139211129</v>
      </c>
      <c r="M64" s="8">
        <f t="shared" si="9"/>
        <v>-0.11576941400666985</v>
      </c>
      <c r="N64" s="8">
        <f t="shared" si="9"/>
        <v>-0.33297413793103448</v>
      </c>
      <c r="O64" s="8">
        <f t="shared" si="9"/>
        <v>0.88368336025848149</v>
      </c>
      <c r="P64" s="8">
        <f t="shared" si="9"/>
        <v>-0.347770154373928</v>
      </c>
      <c r="Q64" s="8">
        <f t="shared" si="9"/>
        <v>0.20118343195266264</v>
      </c>
      <c r="R64" s="8">
        <f t="shared" si="9"/>
        <v>0.14012041598248492</v>
      </c>
      <c r="S64" s="8">
        <f t="shared" si="9"/>
        <v>0.13682189150264046</v>
      </c>
      <c r="T64" s="8">
        <f t="shared" si="9"/>
        <v>-8.8682432432432012E-3</v>
      </c>
      <c r="U64" s="8">
        <f t="shared" si="9"/>
        <v>-0.12143161482743925</v>
      </c>
      <c r="V64" s="8">
        <f t="shared" si="9"/>
        <v>5.6741028128030946E-2</v>
      </c>
      <c r="W64" s="8">
        <f t="shared" si="9"/>
        <v>0.1041762276273519</v>
      </c>
      <c r="X64" s="8">
        <f t="shared" si="9"/>
        <v>-2.1197007481296715E-2</v>
      </c>
      <c r="Y64" s="8">
        <f t="shared" si="9"/>
        <v>0.22632696390658169</v>
      </c>
      <c r="Z64" s="8">
        <f t="shared" si="9"/>
        <v>-7.0637119113573399E-2</v>
      </c>
      <c r="AA64" s="8">
        <f t="shared" si="9"/>
        <v>-0.28315946348733234</v>
      </c>
      <c r="AB64" s="8">
        <f t="shared" si="9"/>
        <v>0.26195426195426186</v>
      </c>
      <c r="AC64" s="8">
        <f t="shared" si="9"/>
        <v>0.20840197693574969</v>
      </c>
      <c r="AD64" s="8">
        <f t="shared" si="9"/>
        <v>-0.1278118609406953</v>
      </c>
      <c r="AE64" s="8">
        <f t="shared" si="9"/>
        <v>-0.18796404845642833</v>
      </c>
      <c r="AF64" s="8">
        <f t="shared" si="9"/>
        <v>-5.6785370548604441E-2</v>
      </c>
      <c r="AG64" s="8">
        <f t="shared" si="9"/>
        <v>0.33112244897959187</v>
      </c>
      <c r="AH64" s="8">
        <f t="shared" si="9"/>
        <v>3.0663089306247615E-2</v>
      </c>
      <c r="AI64" s="8">
        <f t="shared" si="9"/>
        <v>-0.13611007809594644</v>
      </c>
      <c r="AJ64" s="8">
        <f t="shared" si="9"/>
        <v>1.8510546706844488E-2</v>
      </c>
      <c r="AK64" s="8">
        <f t="shared" si="9"/>
        <v>9.2138630600169025E-2</v>
      </c>
      <c r="AL64" s="8">
        <f t="shared" si="9"/>
        <v>-7.2368421052631526E-2</v>
      </c>
      <c r="AM64" s="8">
        <f t="shared" si="9"/>
        <v>2.3779724655819789E-2</v>
      </c>
    </row>
    <row r="65" spans="1:39" x14ac:dyDescent="0.25">
      <c r="A65" s="5">
        <f t="shared" si="0"/>
        <v>1995</v>
      </c>
      <c r="B65" s="5">
        <f t="shared" si="1"/>
        <v>10</v>
      </c>
      <c r="C65" s="2">
        <v>34768</v>
      </c>
      <c r="D65" s="1">
        <v>1347</v>
      </c>
      <c r="H65" s="5">
        <f t="shared" si="7"/>
        <v>6</v>
      </c>
      <c r="I65" s="5"/>
      <c r="J65" s="8">
        <f t="shared" ref="J65:AM65" si="10">J10/I10-1</f>
        <v>0.19899244332493704</v>
      </c>
      <c r="K65" s="8">
        <f t="shared" si="10"/>
        <v>0.15056022408963576</v>
      </c>
      <c r="L65" s="8">
        <f t="shared" si="10"/>
        <v>0.2276323797930615</v>
      </c>
      <c r="M65" s="8">
        <f t="shared" si="10"/>
        <v>-0.18344075359444723</v>
      </c>
      <c r="N65" s="8">
        <f t="shared" si="10"/>
        <v>-0.30115361262902252</v>
      </c>
      <c r="O65" s="8">
        <f t="shared" si="10"/>
        <v>0.87662901824500428</v>
      </c>
      <c r="P65" s="8">
        <f t="shared" si="10"/>
        <v>-0.36527777777777781</v>
      </c>
      <c r="Q65" s="8">
        <f t="shared" si="10"/>
        <v>0.16921954777534642</v>
      </c>
      <c r="R65" s="8">
        <f t="shared" si="10"/>
        <v>0.18902058640049901</v>
      </c>
      <c r="S65" s="8">
        <f t="shared" si="10"/>
        <v>0.1888772298006296</v>
      </c>
      <c r="T65" s="8">
        <f t="shared" si="10"/>
        <v>-7.8552515445719284E-2</v>
      </c>
      <c r="U65" s="8">
        <f t="shared" si="10"/>
        <v>-6.9923371647509613E-2</v>
      </c>
      <c r="V65" s="8">
        <f t="shared" si="10"/>
        <v>4.0164778578784865E-2</v>
      </c>
      <c r="W65" s="8">
        <f t="shared" si="10"/>
        <v>9.6039603960396125E-2</v>
      </c>
      <c r="X65" s="8">
        <f t="shared" si="10"/>
        <v>-3.1616982836495056E-2</v>
      </c>
      <c r="Y65" s="8">
        <f t="shared" si="10"/>
        <v>0.28777985074626855</v>
      </c>
      <c r="Z65" s="8">
        <f t="shared" si="10"/>
        <v>-8.5114089098152879E-2</v>
      </c>
      <c r="AA65" s="8">
        <f t="shared" si="10"/>
        <v>-0.32977038796516234</v>
      </c>
      <c r="AB65" s="8">
        <f t="shared" si="10"/>
        <v>0.33963378617838158</v>
      </c>
      <c r="AC65" s="8">
        <f t="shared" si="10"/>
        <v>0.26278659611992938</v>
      </c>
      <c r="AD65" s="8">
        <f t="shared" si="10"/>
        <v>-0.14629888268156421</v>
      </c>
      <c r="AE65" s="8">
        <f t="shared" si="10"/>
        <v>-0.2294478527607362</v>
      </c>
      <c r="AF65" s="8">
        <f t="shared" si="10"/>
        <v>-1.0615711252653925E-3</v>
      </c>
      <c r="AG65" s="8">
        <f t="shared" si="10"/>
        <v>0.32518597236981939</v>
      </c>
      <c r="AH65" s="8">
        <f t="shared" si="10"/>
        <v>9.6230954290297266E-3</v>
      </c>
      <c r="AI65" s="8">
        <f t="shared" si="10"/>
        <v>-0.16560762509928517</v>
      </c>
      <c r="AJ65" s="8">
        <f t="shared" si="10"/>
        <v>7.8534031413612482E-2</v>
      </c>
      <c r="AK65" s="8">
        <f t="shared" si="10"/>
        <v>0.11650485436893199</v>
      </c>
      <c r="AL65" s="8">
        <f t="shared" si="10"/>
        <v>-9.2094861660079075E-2</v>
      </c>
      <c r="AM65" s="8">
        <f t="shared" si="10"/>
        <v>-4.1358293426208115E-2</v>
      </c>
    </row>
    <row r="66" spans="1:39" x14ac:dyDescent="0.25">
      <c r="A66" s="5">
        <f t="shared" si="0"/>
        <v>1995</v>
      </c>
      <c r="B66" s="5">
        <f t="shared" si="1"/>
        <v>11</v>
      </c>
      <c r="C66" s="2">
        <v>34775</v>
      </c>
      <c r="D66" s="1">
        <v>1333</v>
      </c>
      <c r="H66" s="5">
        <f t="shared" si="7"/>
        <v>7</v>
      </c>
      <c r="I66" s="5"/>
      <c r="J66" s="8">
        <f t="shared" ref="J66:AM66" si="11">J11/I11-1</f>
        <v>0.14838129496402885</v>
      </c>
      <c r="K66" s="8">
        <f t="shared" si="11"/>
        <v>0.21691464369616287</v>
      </c>
      <c r="L66" s="8">
        <f t="shared" si="11"/>
        <v>0.27155727155727161</v>
      </c>
      <c r="M66" s="8">
        <f t="shared" si="11"/>
        <v>-0.23886639676113364</v>
      </c>
      <c r="N66" s="8">
        <f t="shared" si="11"/>
        <v>-0.28523936170212771</v>
      </c>
      <c r="O66" s="8">
        <f t="shared" si="11"/>
        <v>0.89395348837209299</v>
      </c>
      <c r="P66" s="8">
        <f t="shared" si="11"/>
        <v>-0.4263261296660118</v>
      </c>
      <c r="Q66" s="8">
        <f t="shared" si="11"/>
        <v>0.22517123287671237</v>
      </c>
      <c r="R66" s="8">
        <f t="shared" si="11"/>
        <v>0.26345213137665957</v>
      </c>
      <c r="S66" s="8">
        <f t="shared" si="11"/>
        <v>0.18528761061946897</v>
      </c>
      <c r="T66" s="8">
        <f t="shared" si="11"/>
        <v>-0.12972468502099865</v>
      </c>
      <c r="U66" s="8">
        <f t="shared" si="11"/>
        <v>-5.0938337801608613E-2</v>
      </c>
      <c r="V66" s="8">
        <f t="shared" si="11"/>
        <v>0.12768361581920895</v>
      </c>
      <c r="W66" s="8">
        <f t="shared" si="11"/>
        <v>1.503006012024044E-2</v>
      </c>
      <c r="X66" s="8">
        <f t="shared" si="11"/>
        <v>-5.7255676209279405E-2</v>
      </c>
      <c r="Y66" s="8">
        <f t="shared" si="11"/>
        <v>0.3586387434554974</v>
      </c>
      <c r="Z66" s="8">
        <f t="shared" si="11"/>
        <v>-7.5144508670520249E-2</v>
      </c>
      <c r="AA66" s="8">
        <f t="shared" si="11"/>
        <v>-0.39833333333333332</v>
      </c>
      <c r="AB66" s="8">
        <f t="shared" si="11"/>
        <v>0.4944598337950139</v>
      </c>
      <c r="AC66" s="8">
        <f t="shared" si="11"/>
        <v>0.25162187210379972</v>
      </c>
      <c r="AD66" s="8">
        <f t="shared" si="11"/>
        <v>-0.12773047019622363</v>
      </c>
      <c r="AE66" s="8">
        <f t="shared" si="11"/>
        <v>-0.25297113752122236</v>
      </c>
      <c r="AF66" s="8">
        <f t="shared" si="11"/>
        <v>-3.125E-2</v>
      </c>
      <c r="AG66" s="8">
        <f t="shared" si="11"/>
        <v>0.37419354838709684</v>
      </c>
      <c r="AH66" s="8">
        <f t="shared" si="11"/>
        <v>-2.6461801109688432E-2</v>
      </c>
      <c r="AI66" s="8">
        <f t="shared" si="11"/>
        <v>-0.16220955721174923</v>
      </c>
      <c r="AJ66" s="8">
        <f t="shared" si="11"/>
        <v>0.14861329147043434</v>
      </c>
      <c r="AK66" s="8">
        <f t="shared" si="11"/>
        <v>0.12528473804100226</v>
      </c>
      <c r="AL66" s="8">
        <f t="shared" si="11"/>
        <v>-0.14939271255060727</v>
      </c>
      <c r="AM66" s="8">
        <f t="shared" si="11"/>
        <v>-1.9990480723464987E-2</v>
      </c>
    </row>
    <row r="67" spans="1:39" x14ac:dyDescent="0.25">
      <c r="A67" s="5">
        <f t="shared" ref="A67:A130" si="12">YEAR(C67)</f>
        <v>1995</v>
      </c>
      <c r="B67" s="5">
        <f t="shared" ref="B67:B130" si="13">WEEKNUM(C67)</f>
        <v>12</v>
      </c>
      <c r="C67" s="2">
        <v>34782</v>
      </c>
      <c r="D67" s="1">
        <v>1362</v>
      </c>
      <c r="H67" s="5">
        <f t="shared" si="7"/>
        <v>8</v>
      </c>
      <c r="I67" s="5"/>
      <c r="J67" s="8">
        <f t="shared" ref="J67:AM67" si="14">J12/I12-1</f>
        <v>0.14420358152686141</v>
      </c>
      <c r="K67" s="8">
        <f t="shared" si="14"/>
        <v>0.21663920922570012</v>
      </c>
      <c r="L67" s="8">
        <f t="shared" si="14"/>
        <v>0.27826675693974279</v>
      </c>
      <c r="M67" s="8">
        <f t="shared" si="14"/>
        <v>-0.27065677966101698</v>
      </c>
      <c r="N67" s="8">
        <f t="shared" si="14"/>
        <v>-0.29847494553376908</v>
      </c>
      <c r="O67" s="8">
        <f t="shared" si="14"/>
        <v>1.031055900621118</v>
      </c>
      <c r="P67" s="8">
        <f t="shared" si="14"/>
        <v>-0.48318042813455653</v>
      </c>
      <c r="Q67" s="8">
        <f t="shared" si="14"/>
        <v>0.24950690335305725</v>
      </c>
      <c r="R67" s="8">
        <f t="shared" si="14"/>
        <v>0.35753749013417524</v>
      </c>
      <c r="S67" s="8">
        <f t="shared" si="14"/>
        <v>0.14651162790697669</v>
      </c>
      <c r="T67" s="8">
        <f t="shared" si="14"/>
        <v>-0.12119675456389456</v>
      </c>
      <c r="U67" s="8">
        <f t="shared" si="14"/>
        <v>-6.5781881130986708E-2</v>
      </c>
      <c r="V67" s="8">
        <f t="shared" si="14"/>
        <v>0.1704756022235947</v>
      </c>
      <c r="W67" s="8">
        <f t="shared" si="14"/>
        <v>-2.2163588390501365E-2</v>
      </c>
      <c r="X67" s="8">
        <f t="shared" si="14"/>
        <v>-1.1872638963842386E-2</v>
      </c>
      <c r="Y67" s="8">
        <f t="shared" si="14"/>
        <v>0.37247405789186239</v>
      </c>
      <c r="Z67" s="8">
        <f t="shared" si="14"/>
        <v>-0.11301233585356152</v>
      </c>
      <c r="AA67" s="8">
        <f t="shared" si="14"/>
        <v>-0.39524450426200086</v>
      </c>
      <c r="AB67" s="8">
        <f t="shared" si="14"/>
        <v>0.43768545994065278</v>
      </c>
      <c r="AC67" s="8">
        <f t="shared" si="14"/>
        <v>0.33333333333333326</v>
      </c>
      <c r="AD67" s="8">
        <f t="shared" si="14"/>
        <v>-8.5526315789473673E-2</v>
      </c>
      <c r="AE67" s="8">
        <f t="shared" si="14"/>
        <v>-0.28819297503173935</v>
      </c>
      <c r="AF67" s="8">
        <f t="shared" si="14"/>
        <v>-8.5017835909631412E-2</v>
      </c>
      <c r="AG67" s="8">
        <f t="shared" si="14"/>
        <v>0.42949967511371012</v>
      </c>
      <c r="AH67" s="8">
        <f t="shared" si="14"/>
        <v>-0.11681818181818182</v>
      </c>
      <c r="AI67" s="8">
        <f t="shared" si="14"/>
        <v>-8.2861554297478102E-2</v>
      </c>
      <c r="AJ67" s="8">
        <f t="shared" si="14"/>
        <v>0.18630751964085301</v>
      </c>
      <c r="AK67" s="8">
        <f t="shared" si="14"/>
        <v>0.12298959318826874</v>
      </c>
      <c r="AL67" s="8">
        <f t="shared" si="14"/>
        <v>-0.22493681550126365</v>
      </c>
      <c r="AM67" s="8">
        <f t="shared" si="14"/>
        <v>9.0760869565217339E-2</v>
      </c>
    </row>
    <row r="68" spans="1:39" x14ac:dyDescent="0.25">
      <c r="A68" s="5">
        <f t="shared" si="12"/>
        <v>1995</v>
      </c>
      <c r="B68" s="5">
        <f t="shared" si="13"/>
        <v>13</v>
      </c>
      <c r="C68" s="2">
        <v>34789</v>
      </c>
      <c r="D68" s="1">
        <v>1332</v>
      </c>
      <c r="H68" s="5">
        <f t="shared" si="7"/>
        <v>9</v>
      </c>
      <c r="I68" s="5"/>
      <c r="J68" s="8">
        <f t="shared" ref="J68:AM68" si="15">J13/I13-1</f>
        <v>0.11996066863323507</v>
      </c>
      <c r="K68" s="8">
        <f t="shared" si="15"/>
        <v>0.25899912203687436</v>
      </c>
      <c r="L68" s="8">
        <f t="shared" si="15"/>
        <v>0.22942817294281737</v>
      </c>
      <c r="M68" s="8">
        <f t="shared" si="15"/>
        <v>-0.25241066364152009</v>
      </c>
      <c r="N68" s="8">
        <f t="shared" si="15"/>
        <v>-0.32169954476479512</v>
      </c>
      <c r="O68" s="8">
        <f t="shared" si="15"/>
        <v>1.034675615212528</v>
      </c>
      <c r="P68" s="8">
        <f t="shared" si="15"/>
        <v>-0.53930731170973067</v>
      </c>
      <c r="Q68" s="8">
        <f t="shared" si="15"/>
        <v>0.39737470167064437</v>
      </c>
      <c r="R68" s="8">
        <f t="shared" si="15"/>
        <v>0.37745516652433819</v>
      </c>
      <c r="S68" s="8">
        <f t="shared" si="15"/>
        <v>0.16986980781153127</v>
      </c>
      <c r="T68" s="8">
        <f t="shared" si="15"/>
        <v>-0.13566507684154738</v>
      </c>
      <c r="U68" s="8">
        <f t="shared" si="15"/>
        <v>-9.0128755364806912E-2</v>
      </c>
      <c r="V68" s="8">
        <f t="shared" si="15"/>
        <v>0.2082210242587601</v>
      </c>
      <c r="W68" s="8">
        <f t="shared" si="15"/>
        <v>-3.0674846625766916E-2</v>
      </c>
      <c r="X68" s="8">
        <f t="shared" si="15"/>
        <v>4.0276179516685051E-3</v>
      </c>
      <c r="Y68" s="8">
        <f t="shared" si="15"/>
        <v>0.39426934097421196</v>
      </c>
      <c r="Z68" s="8">
        <f t="shared" si="15"/>
        <v>-0.1442663378545006</v>
      </c>
      <c r="AA68" s="8">
        <f t="shared" si="15"/>
        <v>-0.42555235350624399</v>
      </c>
      <c r="AB68" s="8">
        <f t="shared" si="15"/>
        <v>0.42892976588628762</v>
      </c>
      <c r="AC68" s="8">
        <f t="shared" si="15"/>
        <v>0.48390871854885908</v>
      </c>
      <c r="AD68" s="8">
        <f t="shared" si="15"/>
        <v>-9.5031545741324885E-2</v>
      </c>
      <c r="AE68" s="8">
        <f t="shared" si="15"/>
        <v>-0.2919389978213508</v>
      </c>
      <c r="AF68" s="8">
        <f t="shared" si="15"/>
        <v>-0.14461538461538459</v>
      </c>
      <c r="AG68" s="8">
        <f t="shared" si="15"/>
        <v>0.50431654676258986</v>
      </c>
      <c r="AH68" s="8">
        <f t="shared" si="15"/>
        <v>-0.11764705882352944</v>
      </c>
      <c r="AI68" s="8">
        <f t="shared" si="15"/>
        <v>-0.10948509485094848</v>
      </c>
      <c r="AJ68" s="8">
        <f t="shared" si="15"/>
        <v>0.23554473524041386</v>
      </c>
      <c r="AK68" s="8">
        <f t="shared" si="15"/>
        <v>0.14975369458128074</v>
      </c>
      <c r="AL68" s="8">
        <f t="shared" si="15"/>
        <v>-0.24592973436161092</v>
      </c>
      <c r="AM68" s="8">
        <f t="shared" si="15"/>
        <v>6.5909090909090917E-2</v>
      </c>
    </row>
    <row r="69" spans="1:39" x14ac:dyDescent="0.25">
      <c r="A69" s="5">
        <f t="shared" si="12"/>
        <v>1995</v>
      </c>
      <c r="B69" s="5">
        <f t="shared" si="13"/>
        <v>14</v>
      </c>
      <c r="C69" s="2">
        <v>34796</v>
      </c>
      <c r="D69" s="1">
        <v>1293</v>
      </c>
      <c r="H69" s="5">
        <f t="shared" si="7"/>
        <v>10</v>
      </c>
      <c r="I69" s="5"/>
      <c r="J69" s="8">
        <f t="shared" ref="J69:AM69" si="16">J14/I14-1</f>
        <v>0.19471947194719474</v>
      </c>
      <c r="K69" s="8">
        <f t="shared" si="16"/>
        <v>0.27808471454880301</v>
      </c>
      <c r="L69" s="8">
        <f t="shared" si="16"/>
        <v>0.2168587896253602</v>
      </c>
      <c r="M69" s="8">
        <f t="shared" si="16"/>
        <v>-0.23741859088217876</v>
      </c>
      <c r="N69" s="8">
        <f t="shared" si="16"/>
        <v>-0.36568322981366463</v>
      </c>
      <c r="O69" s="8">
        <f t="shared" si="16"/>
        <v>1.1150550795593634</v>
      </c>
      <c r="P69" s="8">
        <f t="shared" si="16"/>
        <v>-0.57407407407407407</v>
      </c>
      <c r="Q69" s="8">
        <f t="shared" si="16"/>
        <v>0.55298913043478271</v>
      </c>
      <c r="R69" s="8">
        <f t="shared" si="16"/>
        <v>0.28958880139982512</v>
      </c>
      <c r="S69" s="8">
        <f t="shared" si="16"/>
        <v>0.2428765264586159</v>
      </c>
      <c r="T69" s="8">
        <f t="shared" si="16"/>
        <v>-0.17248908296943233</v>
      </c>
      <c r="U69" s="8">
        <f t="shared" si="16"/>
        <v>-7.7836411609498724E-2</v>
      </c>
      <c r="V69" s="8">
        <f t="shared" si="16"/>
        <v>0.20243204577968532</v>
      </c>
      <c r="W69" s="8">
        <f t="shared" si="16"/>
        <v>-3.2123735871505077E-2</v>
      </c>
      <c r="X69" s="8">
        <f t="shared" si="16"/>
        <v>2.7658266748617155E-2</v>
      </c>
      <c r="Y69" s="8">
        <f t="shared" si="16"/>
        <v>0.41686602870813405</v>
      </c>
      <c r="Z69" s="8">
        <f t="shared" si="16"/>
        <v>-0.18193330519206419</v>
      </c>
      <c r="AA69" s="8">
        <f t="shared" si="16"/>
        <v>-0.48297213622291024</v>
      </c>
      <c r="AB69" s="8">
        <f t="shared" si="16"/>
        <v>0.50798403193612773</v>
      </c>
      <c r="AC69" s="8">
        <f t="shared" si="16"/>
        <v>0.64063534083388474</v>
      </c>
      <c r="AD69" s="8">
        <f t="shared" si="16"/>
        <v>-9.5603065752319472E-2</v>
      </c>
      <c r="AE69" s="8">
        <f t="shared" si="16"/>
        <v>-0.31668153434433544</v>
      </c>
      <c r="AF69" s="8">
        <f t="shared" si="16"/>
        <v>-0.2232375979112271</v>
      </c>
      <c r="AG69" s="8">
        <f t="shared" si="16"/>
        <v>0.71680672268907553</v>
      </c>
      <c r="AH69" s="8">
        <f t="shared" si="16"/>
        <v>-0.12236906510034262</v>
      </c>
      <c r="AI69" s="8">
        <f t="shared" si="16"/>
        <v>-0.15281650864472951</v>
      </c>
      <c r="AJ69" s="8">
        <f t="shared" si="16"/>
        <v>0.29822251481237649</v>
      </c>
      <c r="AK69" s="8">
        <f t="shared" si="16"/>
        <v>0.17900608519269778</v>
      </c>
      <c r="AL69" s="8">
        <f t="shared" si="16"/>
        <v>-0.26967741935483869</v>
      </c>
      <c r="AM69" s="8">
        <f t="shared" si="16"/>
        <v>8.2449941107184843E-2</v>
      </c>
    </row>
    <row r="70" spans="1:39" x14ac:dyDescent="0.25">
      <c r="A70" s="5">
        <f t="shared" si="12"/>
        <v>1995</v>
      </c>
      <c r="B70" s="5">
        <f t="shared" si="13"/>
        <v>15</v>
      </c>
      <c r="C70" s="2">
        <v>34803</v>
      </c>
      <c r="D70" s="1">
        <v>1288</v>
      </c>
      <c r="H70" s="5">
        <f t="shared" si="7"/>
        <v>11</v>
      </c>
      <c r="I70" s="5"/>
      <c r="J70" s="8">
        <f t="shared" ref="J70:AM70" si="17">J15/I15-1</f>
        <v>0.23104265402843605</v>
      </c>
      <c r="K70" s="8">
        <f t="shared" si="17"/>
        <v>0.19249278152069293</v>
      </c>
      <c r="L70" s="8">
        <f t="shared" si="17"/>
        <v>0.24455205811138025</v>
      </c>
      <c r="M70" s="8">
        <f t="shared" si="17"/>
        <v>-0.18352788586251623</v>
      </c>
      <c r="N70" s="8">
        <f t="shared" si="17"/>
        <v>-0.3653693407466243</v>
      </c>
      <c r="O70" s="8">
        <f t="shared" si="17"/>
        <v>1.0475594493116396</v>
      </c>
      <c r="P70" s="8">
        <f t="shared" si="17"/>
        <v>-0.60024449877750619</v>
      </c>
      <c r="Q70" s="8">
        <f t="shared" si="17"/>
        <v>0.67737003058103973</v>
      </c>
      <c r="R70" s="8">
        <f t="shared" si="17"/>
        <v>0.25706472196900632</v>
      </c>
      <c r="S70" s="8">
        <f t="shared" si="17"/>
        <v>0.31182015953589559</v>
      </c>
      <c r="T70" s="8">
        <f t="shared" si="17"/>
        <v>-0.15257048092868986</v>
      </c>
      <c r="U70" s="8">
        <f t="shared" si="17"/>
        <v>-0.14350945857795172</v>
      </c>
      <c r="V70" s="8">
        <f t="shared" si="17"/>
        <v>0.25742574257425743</v>
      </c>
      <c r="W70" s="8">
        <f t="shared" si="17"/>
        <v>-2.2410660205935851E-2</v>
      </c>
      <c r="X70" s="8">
        <f t="shared" si="17"/>
        <v>1.2391573729864103E-3</v>
      </c>
      <c r="Y70" s="8">
        <f t="shared" si="17"/>
        <v>0.47277227722772275</v>
      </c>
      <c r="Z70" s="8">
        <f t="shared" si="17"/>
        <v>-0.21176470588235297</v>
      </c>
      <c r="AA70" s="8">
        <f t="shared" si="17"/>
        <v>-0.49200426439232414</v>
      </c>
      <c r="AB70" s="8">
        <f t="shared" si="17"/>
        <v>0.54039874081846806</v>
      </c>
      <c r="AC70" s="8">
        <f t="shared" si="17"/>
        <v>0.68801089918256131</v>
      </c>
      <c r="AD70" s="8">
        <f t="shared" si="17"/>
        <v>-0.15577078288942692</v>
      </c>
      <c r="AE70" s="8">
        <f t="shared" si="17"/>
        <v>-0.30879541108986619</v>
      </c>
      <c r="AF70" s="8">
        <f t="shared" si="17"/>
        <v>-0.20954356846473032</v>
      </c>
      <c r="AG70" s="8">
        <f t="shared" si="17"/>
        <v>0.77952755905511806</v>
      </c>
      <c r="AH70" s="8">
        <f t="shared" si="17"/>
        <v>-0.12389380530973448</v>
      </c>
      <c r="AI70" s="8">
        <f t="shared" si="17"/>
        <v>-0.19191919191919193</v>
      </c>
      <c r="AJ70" s="8">
        <f t="shared" si="17"/>
        <v>0.31944444444444442</v>
      </c>
      <c r="AK70" s="8">
        <f t="shared" si="17"/>
        <v>0.22736842105263166</v>
      </c>
      <c r="AL70" s="8">
        <f t="shared" si="17"/>
        <v>-0.26801029159519729</v>
      </c>
      <c r="AM70" s="8">
        <f t="shared" si="17"/>
        <v>9.6660808435852452E-2</v>
      </c>
    </row>
    <row r="71" spans="1:39" x14ac:dyDescent="0.25">
      <c r="A71" s="5">
        <f t="shared" si="12"/>
        <v>1995</v>
      </c>
      <c r="B71" s="5">
        <f t="shared" si="13"/>
        <v>16</v>
      </c>
      <c r="C71" s="2">
        <v>34810</v>
      </c>
      <c r="D71" s="1">
        <v>1325</v>
      </c>
      <c r="H71" s="5">
        <f t="shared" si="7"/>
        <v>12</v>
      </c>
      <c r="I71" s="5"/>
      <c r="J71" s="8">
        <f t="shared" ref="J71:AM71" si="18">J16/I16-1</f>
        <v>0.20617283950617282</v>
      </c>
      <c r="K71" s="8">
        <f t="shared" si="18"/>
        <v>0.18321392016376659</v>
      </c>
      <c r="L71" s="8">
        <f t="shared" si="18"/>
        <v>0.25086505190311414</v>
      </c>
      <c r="M71" s="8">
        <f t="shared" si="18"/>
        <v>-0.17565698478561553</v>
      </c>
      <c r="N71" s="8">
        <f t="shared" si="18"/>
        <v>-0.33221476510067116</v>
      </c>
      <c r="O71" s="8">
        <f t="shared" si="18"/>
        <v>0.96105527638190957</v>
      </c>
      <c r="P71" s="8">
        <f t="shared" si="18"/>
        <v>-0.57719410634208845</v>
      </c>
      <c r="Q71" s="8">
        <f t="shared" si="18"/>
        <v>0.56363636363636371</v>
      </c>
      <c r="R71" s="8">
        <f t="shared" si="18"/>
        <v>0.25</v>
      </c>
      <c r="S71" s="8">
        <f t="shared" si="18"/>
        <v>0.32170542635658905</v>
      </c>
      <c r="T71" s="8">
        <f t="shared" si="18"/>
        <v>-0.11378299120234603</v>
      </c>
      <c r="U71" s="8">
        <f t="shared" si="18"/>
        <v>-0.15486432825943086</v>
      </c>
      <c r="V71" s="8">
        <f t="shared" si="18"/>
        <v>0.29522317932654651</v>
      </c>
      <c r="W71" s="8">
        <f t="shared" si="18"/>
        <v>-1.6928657799274438E-2</v>
      </c>
      <c r="X71" s="8">
        <f t="shared" si="18"/>
        <v>-9.2250922509224953E-3</v>
      </c>
      <c r="Y71" s="8">
        <f t="shared" si="18"/>
        <v>0.50775915580384856</v>
      </c>
      <c r="Z71" s="8">
        <f t="shared" si="18"/>
        <v>-0.26677645121449156</v>
      </c>
      <c r="AA71" s="8">
        <f t="shared" si="18"/>
        <v>-0.49747332959011792</v>
      </c>
      <c r="AB71" s="8">
        <f t="shared" si="18"/>
        <v>0.65251396648044691</v>
      </c>
      <c r="AC71" s="8">
        <f t="shared" si="18"/>
        <v>0.68559837728194717</v>
      </c>
      <c r="AD71" s="8">
        <f t="shared" si="18"/>
        <v>-0.17809867629362219</v>
      </c>
      <c r="AE71" s="8">
        <f t="shared" si="18"/>
        <v>-0.32503660322108341</v>
      </c>
      <c r="AF71" s="8">
        <f t="shared" si="18"/>
        <v>-0.19956616052060738</v>
      </c>
      <c r="AG71" s="8">
        <f t="shared" si="18"/>
        <v>0.81120144534778671</v>
      </c>
      <c r="AH71" s="8">
        <f t="shared" si="18"/>
        <v>-0.12718204488778051</v>
      </c>
      <c r="AI71" s="8">
        <f t="shared" si="18"/>
        <v>-0.20628571428571429</v>
      </c>
      <c r="AJ71" s="8">
        <f t="shared" si="18"/>
        <v>0.33405327573794086</v>
      </c>
      <c r="AK71" s="8">
        <f t="shared" si="18"/>
        <v>0.23907177549919045</v>
      </c>
      <c r="AL71" s="8">
        <f t="shared" si="18"/>
        <v>-0.24041811846689898</v>
      </c>
      <c r="AM71" s="8">
        <f t="shared" si="18"/>
        <v>4.243119266055051E-2</v>
      </c>
    </row>
    <row r="72" spans="1:39" x14ac:dyDescent="0.25">
      <c r="A72" s="5">
        <f t="shared" si="12"/>
        <v>1995</v>
      </c>
      <c r="B72" s="5">
        <f t="shared" si="13"/>
        <v>17</v>
      </c>
      <c r="C72" s="2">
        <v>34817</v>
      </c>
      <c r="D72" s="1">
        <v>1362</v>
      </c>
      <c r="H72" s="5">
        <f t="shared" si="7"/>
        <v>13</v>
      </c>
      <c r="I72" s="5"/>
      <c r="J72" s="8">
        <f t="shared" ref="J72:AM72" si="19">J17/I17-1</f>
        <v>0.29062087186261554</v>
      </c>
      <c r="K72" s="8">
        <f t="shared" si="19"/>
        <v>0.16479017400204699</v>
      </c>
      <c r="L72" s="8">
        <f t="shared" si="19"/>
        <v>0.23286467486818974</v>
      </c>
      <c r="M72" s="8">
        <f t="shared" si="19"/>
        <v>-0.17605131860299361</v>
      </c>
      <c r="N72" s="8">
        <f t="shared" si="19"/>
        <v>-0.36159169550173009</v>
      </c>
      <c r="O72" s="8">
        <f t="shared" si="19"/>
        <v>1.0325203252032522</v>
      </c>
      <c r="P72" s="8">
        <f t="shared" si="19"/>
        <v>-0.53600000000000003</v>
      </c>
      <c r="Q72" s="8">
        <f t="shared" si="19"/>
        <v>0.4568965517241379</v>
      </c>
      <c r="R72" s="8">
        <f t="shared" si="19"/>
        <v>0.22189349112426027</v>
      </c>
      <c r="S72" s="8">
        <f t="shared" si="19"/>
        <v>0.36803874092009692</v>
      </c>
      <c r="T72" s="8">
        <f t="shared" si="19"/>
        <v>-7.4336283185840735E-2</v>
      </c>
      <c r="U72" s="8">
        <f t="shared" si="19"/>
        <v>-0.20458891013384317</v>
      </c>
      <c r="V72" s="8">
        <f t="shared" si="19"/>
        <v>0.32532051282051277</v>
      </c>
      <c r="W72" s="8">
        <f t="shared" si="19"/>
        <v>-9.6735187424425995E-3</v>
      </c>
      <c r="X72" s="8">
        <f t="shared" si="19"/>
        <v>-9.7680097680097333E-3</v>
      </c>
      <c r="Y72" s="8">
        <f t="shared" si="19"/>
        <v>0.52404438964241673</v>
      </c>
      <c r="Z72" s="8">
        <f t="shared" si="19"/>
        <v>-0.31755663430420711</v>
      </c>
      <c r="AA72" s="8">
        <f t="shared" si="19"/>
        <v>-0.51155898043864845</v>
      </c>
      <c r="AB72" s="8">
        <f t="shared" si="19"/>
        <v>0.77305825242718451</v>
      </c>
      <c r="AC72" s="8">
        <f t="shared" si="19"/>
        <v>0.68925393566050652</v>
      </c>
      <c r="AD72" s="8">
        <f t="shared" si="19"/>
        <v>-0.16896272285251213</v>
      </c>
      <c r="AE72" s="8">
        <f t="shared" si="19"/>
        <v>-0.3398342272062409</v>
      </c>
      <c r="AF72" s="8">
        <f t="shared" si="19"/>
        <v>-0.16543574593796162</v>
      </c>
      <c r="AG72" s="8">
        <f t="shared" si="19"/>
        <v>0.75752212389380524</v>
      </c>
      <c r="AH72" s="8">
        <f t="shared" si="19"/>
        <v>-0.11178247734138969</v>
      </c>
      <c r="AI72" s="8">
        <f t="shared" si="19"/>
        <v>-0.19784580498866211</v>
      </c>
      <c r="AJ72" s="8">
        <f t="shared" si="19"/>
        <v>0.29328621908127217</v>
      </c>
      <c r="AK72" s="8">
        <f t="shared" si="19"/>
        <v>0.23442622950819669</v>
      </c>
      <c r="AL72" s="8">
        <f t="shared" si="19"/>
        <v>-0.21513944223107573</v>
      </c>
      <c r="AM72" s="8">
        <f t="shared" si="19"/>
        <v>4.3993231810490752E-2</v>
      </c>
    </row>
    <row r="73" spans="1:39" x14ac:dyDescent="0.25">
      <c r="A73" s="5">
        <f t="shared" si="12"/>
        <v>1995</v>
      </c>
      <c r="B73" s="5">
        <f t="shared" si="13"/>
        <v>18</v>
      </c>
      <c r="C73" s="2">
        <v>34824</v>
      </c>
      <c r="D73" s="1">
        <v>1405</v>
      </c>
      <c r="H73" s="5">
        <f t="shared" si="7"/>
        <v>14</v>
      </c>
      <c r="I73" s="5"/>
      <c r="J73" s="8">
        <f t="shared" ref="J73:AM73" si="20">J18/I18-1</f>
        <v>0.3697135061391541</v>
      </c>
      <c r="K73" s="8">
        <f t="shared" si="20"/>
        <v>0.20119521912350602</v>
      </c>
      <c r="L73" s="8">
        <f t="shared" si="20"/>
        <v>0.16666666666666674</v>
      </c>
      <c r="M73" s="8">
        <f t="shared" si="20"/>
        <v>-0.18052594171997161</v>
      </c>
      <c r="N73" s="8">
        <f t="shared" si="20"/>
        <v>-0.35732870771899394</v>
      </c>
      <c r="O73" s="8">
        <f t="shared" si="20"/>
        <v>1.0121457489878543</v>
      </c>
      <c r="P73" s="8">
        <f t="shared" si="20"/>
        <v>-0.53856472166331315</v>
      </c>
      <c r="Q73" s="8">
        <f t="shared" si="20"/>
        <v>0.50290697674418605</v>
      </c>
      <c r="R73" s="8">
        <f t="shared" si="20"/>
        <v>0.20793036750483562</v>
      </c>
      <c r="S73" s="8">
        <f t="shared" si="20"/>
        <v>0.37229783827061658</v>
      </c>
      <c r="T73" s="8">
        <f t="shared" si="20"/>
        <v>-7.1178529754959197E-2</v>
      </c>
      <c r="U73" s="8">
        <f t="shared" si="20"/>
        <v>-0.22487437185929648</v>
      </c>
      <c r="V73" s="8">
        <f t="shared" si="20"/>
        <v>0.35656401944894656</v>
      </c>
      <c r="W73" s="8">
        <f t="shared" si="20"/>
        <v>-2.3894862604539879E-3</v>
      </c>
      <c r="X73" s="8">
        <f t="shared" si="20"/>
        <v>-5.5089820359281449E-2</v>
      </c>
      <c r="Y73" s="8">
        <f t="shared" si="20"/>
        <v>0.57034220532319391</v>
      </c>
      <c r="Z73" s="8">
        <f t="shared" si="20"/>
        <v>-0.32445520581113807</v>
      </c>
      <c r="AA73" s="8">
        <f t="shared" si="20"/>
        <v>-0.50597371565113503</v>
      </c>
      <c r="AB73" s="8">
        <f t="shared" si="20"/>
        <v>0.78476420798065294</v>
      </c>
      <c r="AC73" s="8">
        <f t="shared" si="20"/>
        <v>0.68021680216802172</v>
      </c>
      <c r="AD73" s="8">
        <f t="shared" si="20"/>
        <v>-0.1689516129032258</v>
      </c>
      <c r="AE73" s="8">
        <f t="shared" si="20"/>
        <v>-0.3522561863173217</v>
      </c>
      <c r="AF73" s="8">
        <f t="shared" si="20"/>
        <v>-0.1348314606741573</v>
      </c>
      <c r="AG73" s="8">
        <f t="shared" si="20"/>
        <v>0.75238095238095237</v>
      </c>
      <c r="AH73" s="8">
        <f t="shared" si="20"/>
        <v>-0.11857707509881421</v>
      </c>
      <c r="AI73" s="8">
        <f t="shared" si="20"/>
        <v>-0.2253363228699552</v>
      </c>
      <c r="AJ73" s="8">
        <f t="shared" si="20"/>
        <v>0.34225759768451525</v>
      </c>
      <c r="AK73" s="8">
        <f t="shared" si="20"/>
        <v>0.23072776280323448</v>
      </c>
      <c r="AL73" s="8">
        <f t="shared" si="20"/>
        <v>-0.19842312746386337</v>
      </c>
      <c r="AM73" s="8">
        <f t="shared" si="20"/>
        <v>3.8251366120218622E-2</v>
      </c>
    </row>
    <row r="74" spans="1:39" x14ac:dyDescent="0.25">
      <c r="A74" s="5">
        <f t="shared" si="12"/>
        <v>1995</v>
      </c>
      <c r="B74" s="5">
        <f t="shared" si="13"/>
        <v>19</v>
      </c>
      <c r="C74" s="2">
        <v>34831</v>
      </c>
      <c r="D74" s="1">
        <v>1416</v>
      </c>
      <c r="H74" s="5">
        <f t="shared" si="7"/>
        <v>15</v>
      </c>
      <c r="I74" s="5"/>
      <c r="J74" s="8">
        <f t="shared" ref="J74:AM74" si="21">J19/I19-1</f>
        <v>0.4088952654232425</v>
      </c>
      <c r="K74" s="8">
        <f t="shared" si="21"/>
        <v>0.24032586558044811</v>
      </c>
      <c r="L74" s="8">
        <f t="shared" si="21"/>
        <v>0.18801313628899829</v>
      </c>
      <c r="M74" s="8">
        <f t="shared" si="21"/>
        <v>-0.20110573600552872</v>
      </c>
      <c r="N74" s="8">
        <f t="shared" si="21"/>
        <v>-0.29930795847750868</v>
      </c>
      <c r="O74" s="8">
        <f t="shared" si="21"/>
        <v>0.85925925925925917</v>
      </c>
      <c r="P74" s="8">
        <f t="shared" si="21"/>
        <v>-0.57370517928286846</v>
      </c>
      <c r="Q74" s="8">
        <f t="shared" si="21"/>
        <v>0.63395638629283479</v>
      </c>
      <c r="R74" s="8">
        <f t="shared" si="21"/>
        <v>0.23260247855100102</v>
      </c>
      <c r="S74" s="8">
        <f t="shared" si="21"/>
        <v>0.3696829079659707</v>
      </c>
      <c r="T74" s="8">
        <f t="shared" si="21"/>
        <v>-0.12704686617730099</v>
      </c>
      <c r="U74" s="8">
        <f t="shared" si="21"/>
        <v>-0.18434670116429497</v>
      </c>
      <c r="V74" s="8">
        <f t="shared" si="21"/>
        <v>0.34417129262490098</v>
      </c>
      <c r="W74" s="8">
        <f t="shared" si="21"/>
        <v>3.4808259587020718E-2</v>
      </c>
      <c r="X74" s="8">
        <f t="shared" si="21"/>
        <v>-8.4378563283922459E-2</v>
      </c>
      <c r="Y74" s="8">
        <f t="shared" si="21"/>
        <v>0.55853051058530512</v>
      </c>
      <c r="Z74" s="8">
        <f t="shared" si="21"/>
        <v>-0.3188174190970835</v>
      </c>
      <c r="AA74" s="8">
        <f t="shared" si="21"/>
        <v>-0.50146627565982405</v>
      </c>
      <c r="AB74" s="8">
        <f t="shared" si="21"/>
        <v>0.81058823529411761</v>
      </c>
      <c r="AC74" s="8">
        <f t="shared" si="21"/>
        <v>0.60948667966211834</v>
      </c>
      <c r="AD74" s="8">
        <f t="shared" si="21"/>
        <v>-0.14614452967299152</v>
      </c>
      <c r="AE74" s="8">
        <f t="shared" si="21"/>
        <v>-0.38581560283687943</v>
      </c>
      <c r="AF74" s="8">
        <f t="shared" si="21"/>
        <v>-4.0030792917628899E-2</v>
      </c>
      <c r="AG74" s="8">
        <f t="shared" si="21"/>
        <v>0.68163592622293501</v>
      </c>
      <c r="AH74" s="8">
        <f t="shared" si="21"/>
        <v>-0.12017167381974247</v>
      </c>
      <c r="AI74" s="8">
        <f t="shared" si="21"/>
        <v>-0.2428184281842819</v>
      </c>
      <c r="AJ74" s="8">
        <f t="shared" si="21"/>
        <v>0.38153185397279876</v>
      </c>
      <c r="AK74" s="8">
        <f t="shared" si="21"/>
        <v>0.20880829015544045</v>
      </c>
      <c r="AL74" s="8">
        <f t="shared" si="21"/>
        <v>-0.20874410630090012</v>
      </c>
      <c r="AM74" s="8">
        <f t="shared" si="21"/>
        <v>6.1755146262188587E-2</v>
      </c>
    </row>
    <row r="75" spans="1:39" x14ac:dyDescent="0.25">
      <c r="A75" s="5">
        <f t="shared" si="12"/>
        <v>1995</v>
      </c>
      <c r="B75" s="5">
        <f t="shared" si="13"/>
        <v>20</v>
      </c>
      <c r="C75" s="2">
        <v>34838</v>
      </c>
      <c r="D75" s="1">
        <v>1526</v>
      </c>
      <c r="H75" s="5">
        <f t="shared" si="7"/>
        <v>16</v>
      </c>
      <c r="I75" s="5"/>
      <c r="J75" s="8">
        <f t="shared" ref="J75:AM75" si="22">J20/I20-1</f>
        <v>0.34019204389574753</v>
      </c>
      <c r="K75" s="8">
        <f t="shared" si="22"/>
        <v>0.29887410440122819</v>
      </c>
      <c r="L75" s="8">
        <f t="shared" si="22"/>
        <v>0.1442080378250592</v>
      </c>
      <c r="M75" s="8">
        <f t="shared" si="22"/>
        <v>-0.22658402203856753</v>
      </c>
      <c r="N75" s="8">
        <f t="shared" si="22"/>
        <v>-0.24844167408726625</v>
      </c>
      <c r="O75" s="8">
        <f t="shared" si="22"/>
        <v>0.86611374407582931</v>
      </c>
      <c r="P75" s="8">
        <f t="shared" si="22"/>
        <v>-0.55428571428571427</v>
      </c>
      <c r="Q75" s="8">
        <f t="shared" si="22"/>
        <v>0.53418803418803429</v>
      </c>
      <c r="R75" s="8">
        <f t="shared" si="22"/>
        <v>0.24698235840297111</v>
      </c>
      <c r="S75" s="8">
        <f t="shared" si="22"/>
        <v>0.37825763216679076</v>
      </c>
      <c r="T75" s="8">
        <f t="shared" si="22"/>
        <v>-0.15505132360886009</v>
      </c>
      <c r="U75" s="8">
        <f t="shared" si="22"/>
        <v>-0.17838874680306904</v>
      </c>
      <c r="V75" s="8">
        <f t="shared" si="22"/>
        <v>0.35486381322957206</v>
      </c>
      <c r="W75" s="8">
        <f t="shared" si="22"/>
        <v>4.9971280873061463E-2</v>
      </c>
      <c r="X75" s="8">
        <f t="shared" si="22"/>
        <v>-9.5185995623632391E-2</v>
      </c>
      <c r="Y75" s="8">
        <f t="shared" si="22"/>
        <v>0.53929866989117281</v>
      </c>
      <c r="Z75" s="8">
        <f t="shared" si="22"/>
        <v>-0.31893165750196384</v>
      </c>
      <c r="AA75" s="8">
        <f t="shared" si="22"/>
        <v>-0.48154555940023069</v>
      </c>
      <c r="AB75" s="8">
        <f t="shared" si="22"/>
        <v>0.81090100111234698</v>
      </c>
      <c r="AC75" s="8">
        <f t="shared" si="22"/>
        <v>0.52579852579852582</v>
      </c>
      <c r="AD75" s="8">
        <f t="shared" si="22"/>
        <v>-0.1187600644122383</v>
      </c>
      <c r="AE75" s="8">
        <f t="shared" si="22"/>
        <v>-0.41480127912288711</v>
      </c>
      <c r="AF75" s="8">
        <f t="shared" si="22"/>
        <v>4.5277127244340409E-2</v>
      </c>
      <c r="AG75" s="8">
        <f t="shared" si="22"/>
        <v>0.59820761762509345</v>
      </c>
      <c r="AH75" s="8">
        <f t="shared" si="22"/>
        <v>-0.12009345794392523</v>
      </c>
      <c r="AI75" s="8">
        <f t="shared" si="22"/>
        <v>-0.22995220392989912</v>
      </c>
      <c r="AJ75" s="8">
        <f t="shared" si="22"/>
        <v>0.38551724137931043</v>
      </c>
      <c r="AK75" s="8">
        <f t="shared" si="22"/>
        <v>0.20706819313091085</v>
      </c>
      <c r="AL75" s="8">
        <f t="shared" si="22"/>
        <v>-0.20247422680412375</v>
      </c>
      <c r="AM75" s="8">
        <f t="shared" si="22"/>
        <v>6.670113753877982E-2</v>
      </c>
    </row>
    <row r="76" spans="1:39" x14ac:dyDescent="0.25">
      <c r="A76" s="5">
        <f t="shared" si="12"/>
        <v>1995</v>
      </c>
      <c r="B76" s="5">
        <f t="shared" si="13"/>
        <v>21</v>
      </c>
      <c r="C76" s="2">
        <v>34845</v>
      </c>
      <c r="D76" s="1">
        <v>1605</v>
      </c>
      <c r="H76" s="5">
        <f t="shared" si="7"/>
        <v>17</v>
      </c>
      <c r="I76" s="5"/>
      <c r="J76" s="8">
        <f t="shared" ref="J76:AM76" si="23">J21/I21-1</f>
        <v>0.23076923076923084</v>
      </c>
      <c r="K76" s="8">
        <f t="shared" si="23"/>
        <v>0.31547619047619047</v>
      </c>
      <c r="L76" s="8">
        <f t="shared" si="23"/>
        <v>9.8793363499245945E-2</v>
      </c>
      <c r="M76" s="8">
        <f t="shared" si="23"/>
        <v>-0.21482498284145501</v>
      </c>
      <c r="N76" s="8">
        <f t="shared" si="23"/>
        <v>-0.17220279720279719</v>
      </c>
      <c r="O76" s="8">
        <f t="shared" si="23"/>
        <v>0.6958817317845829</v>
      </c>
      <c r="P76" s="8">
        <f t="shared" si="23"/>
        <v>-0.53051058530510586</v>
      </c>
      <c r="Q76" s="8">
        <f t="shared" si="23"/>
        <v>0.53183023872679036</v>
      </c>
      <c r="R76" s="8">
        <f t="shared" si="23"/>
        <v>0.22597402597402594</v>
      </c>
      <c r="S76" s="8">
        <f t="shared" si="23"/>
        <v>0.34463276836158196</v>
      </c>
      <c r="T76" s="8">
        <f t="shared" si="23"/>
        <v>-0.13287815126050417</v>
      </c>
      <c r="U76" s="8">
        <f t="shared" si="23"/>
        <v>-0.16959418534221682</v>
      </c>
      <c r="V76" s="8">
        <f t="shared" si="23"/>
        <v>0.32968636032093368</v>
      </c>
      <c r="W76" s="8">
        <f t="shared" si="23"/>
        <v>4.8820625342841373E-2</v>
      </c>
      <c r="X76" s="8">
        <f t="shared" si="23"/>
        <v>-0.11872384937238489</v>
      </c>
      <c r="Y76" s="8">
        <f t="shared" si="23"/>
        <v>0.52878338278931758</v>
      </c>
      <c r="Z76" s="8">
        <f t="shared" si="23"/>
        <v>-0.31055900621118016</v>
      </c>
      <c r="AA76" s="8">
        <f t="shared" si="23"/>
        <v>-0.44763513513513509</v>
      </c>
      <c r="AB76" s="8">
        <f t="shared" si="23"/>
        <v>0.74413863404689096</v>
      </c>
      <c r="AC76" s="8">
        <f t="shared" si="23"/>
        <v>0.49444769140853295</v>
      </c>
      <c r="AD76" s="8">
        <f t="shared" si="23"/>
        <v>-0.11771607352366054</v>
      </c>
      <c r="AE76" s="8">
        <f t="shared" si="23"/>
        <v>-0.40469858156028371</v>
      </c>
      <c r="AF76" s="8">
        <f t="shared" si="23"/>
        <v>8.8607594936708889E-2</v>
      </c>
      <c r="AG76" s="8">
        <f t="shared" si="23"/>
        <v>0.51162790697674421</v>
      </c>
      <c r="AH76" s="8">
        <f t="shared" si="23"/>
        <v>-0.14117647058823535</v>
      </c>
      <c r="AI76" s="8">
        <f t="shared" si="23"/>
        <v>-0.21496311907270815</v>
      </c>
      <c r="AJ76" s="8">
        <f t="shared" si="23"/>
        <v>0.38456375838926182</v>
      </c>
      <c r="AK76" s="8">
        <f t="shared" si="23"/>
        <v>0.20407174018419783</v>
      </c>
      <c r="AL76" s="8">
        <f t="shared" si="23"/>
        <v>-0.17834138486312401</v>
      </c>
      <c r="AM76" s="8">
        <f t="shared" si="23"/>
        <v>4.9485546300833017E-2</v>
      </c>
    </row>
    <row r="77" spans="1:39" x14ac:dyDescent="0.25">
      <c r="A77" s="5">
        <f t="shared" si="12"/>
        <v>1995</v>
      </c>
      <c r="B77" s="5">
        <f t="shared" si="13"/>
        <v>22</v>
      </c>
      <c r="C77" s="2">
        <v>34852</v>
      </c>
      <c r="D77" s="1">
        <v>1698</v>
      </c>
      <c r="H77" s="5">
        <f t="shared" si="7"/>
        <v>18</v>
      </c>
      <c r="I77" s="5"/>
      <c r="J77" s="8">
        <f t="shared" ref="J77:AM77" si="24">J22/I22-1</f>
        <v>0.20932878270762223</v>
      </c>
      <c r="K77" s="8">
        <f t="shared" si="24"/>
        <v>0.31326434619002819</v>
      </c>
      <c r="L77" s="8">
        <f t="shared" si="24"/>
        <v>7.0916905444126099E-2</v>
      </c>
      <c r="M77" s="8">
        <f t="shared" si="24"/>
        <v>-0.20936454849498332</v>
      </c>
      <c r="N77" s="8">
        <f t="shared" si="24"/>
        <v>-0.10829103214890012</v>
      </c>
      <c r="O77" s="8">
        <f t="shared" si="24"/>
        <v>0.56072106261859589</v>
      </c>
      <c r="P77" s="8">
        <f t="shared" si="24"/>
        <v>-0.49179331306990881</v>
      </c>
      <c r="Q77" s="8">
        <f t="shared" si="24"/>
        <v>0.46770334928229662</v>
      </c>
      <c r="R77" s="8">
        <f t="shared" si="24"/>
        <v>0.18581907090464544</v>
      </c>
      <c r="S77" s="8">
        <f t="shared" si="24"/>
        <v>0.36701030927835054</v>
      </c>
      <c r="T77" s="8">
        <f t="shared" si="24"/>
        <v>-0.12166918049270992</v>
      </c>
      <c r="U77" s="8">
        <f t="shared" si="24"/>
        <v>-0.17801946193474527</v>
      </c>
      <c r="V77" s="8">
        <f t="shared" si="24"/>
        <v>0.33077994428969348</v>
      </c>
      <c r="W77" s="8">
        <f t="shared" si="24"/>
        <v>4.3432757718472104E-2</v>
      </c>
      <c r="X77" s="8">
        <f t="shared" si="24"/>
        <v>-0.11885656970912739</v>
      </c>
      <c r="Y77" s="8">
        <f t="shared" si="24"/>
        <v>0.48321001707455902</v>
      </c>
      <c r="Z77" s="8">
        <f t="shared" si="24"/>
        <v>-0.28396009209516504</v>
      </c>
      <c r="AA77" s="8">
        <f t="shared" si="24"/>
        <v>-0.43461950696677387</v>
      </c>
      <c r="AB77" s="8">
        <f t="shared" si="24"/>
        <v>0.69194312796208535</v>
      </c>
      <c r="AC77" s="8">
        <f t="shared" si="24"/>
        <v>0.47058823529411775</v>
      </c>
      <c r="AD77" s="8">
        <f t="shared" si="24"/>
        <v>-0.12342857142857144</v>
      </c>
      <c r="AE77" s="8">
        <f t="shared" si="24"/>
        <v>-0.37766188613646245</v>
      </c>
      <c r="AF77" s="8">
        <f t="shared" si="24"/>
        <v>8.0307262569832449E-2</v>
      </c>
      <c r="AG77" s="8">
        <f t="shared" si="24"/>
        <v>0.49903038138332256</v>
      </c>
      <c r="AH77" s="8">
        <f t="shared" si="24"/>
        <v>-0.15567054764984911</v>
      </c>
      <c r="AI77" s="8">
        <f t="shared" si="24"/>
        <v>-0.19969356486210421</v>
      </c>
      <c r="AJ77" s="8">
        <f t="shared" si="24"/>
        <v>0.366305041480536</v>
      </c>
      <c r="AK77" s="8">
        <f t="shared" si="24"/>
        <v>0.19990658570761322</v>
      </c>
      <c r="AL77" s="8">
        <f t="shared" si="24"/>
        <v>-0.16504476449980532</v>
      </c>
      <c r="AM77" s="8">
        <f t="shared" si="24"/>
        <v>2.7972027972027913E-2</v>
      </c>
    </row>
    <row r="78" spans="1:39" x14ac:dyDescent="0.25">
      <c r="A78" s="5">
        <f t="shared" si="12"/>
        <v>1995</v>
      </c>
      <c r="B78" s="5">
        <f t="shared" si="13"/>
        <v>23</v>
      </c>
      <c r="C78" s="2">
        <v>34859</v>
      </c>
      <c r="D78" s="1">
        <v>1774</v>
      </c>
      <c r="H78" s="5">
        <f t="shared" si="7"/>
        <v>19</v>
      </c>
      <c r="I78" s="5"/>
      <c r="J78" s="8">
        <f t="shared" ref="J78:AM78" si="25">J23/I23-1</f>
        <v>0.19894179894179898</v>
      </c>
      <c r="K78" s="8">
        <f t="shared" si="25"/>
        <v>0.31509267431597521</v>
      </c>
      <c r="L78" s="8">
        <f t="shared" si="25"/>
        <v>5.4362416107382572E-2</v>
      </c>
      <c r="M78" s="8">
        <f t="shared" si="25"/>
        <v>-0.20942075111394021</v>
      </c>
      <c r="N78" s="8">
        <f t="shared" si="25"/>
        <v>-6.8438003220611887E-2</v>
      </c>
      <c r="O78" s="8">
        <f t="shared" si="25"/>
        <v>0.47536732929991365</v>
      </c>
      <c r="P78" s="8">
        <f t="shared" si="25"/>
        <v>-0.47275922671353254</v>
      </c>
      <c r="Q78" s="8">
        <f t="shared" si="25"/>
        <v>0.44777777777777783</v>
      </c>
      <c r="R78" s="8">
        <f t="shared" si="25"/>
        <v>0.15809669992325404</v>
      </c>
      <c r="S78" s="8">
        <f t="shared" si="25"/>
        <v>0.37839628893306831</v>
      </c>
      <c r="T78" s="8">
        <f t="shared" si="25"/>
        <v>-0.11442307692307696</v>
      </c>
      <c r="U78" s="8">
        <f t="shared" si="25"/>
        <v>-0.16992399565689464</v>
      </c>
      <c r="V78" s="8">
        <f t="shared" si="25"/>
        <v>0.31131458469587958</v>
      </c>
      <c r="W78" s="8">
        <f t="shared" si="25"/>
        <v>4.2892768079800581E-2</v>
      </c>
      <c r="X78" s="8">
        <f t="shared" si="25"/>
        <v>-0.1262553802008608</v>
      </c>
      <c r="Y78" s="8">
        <f t="shared" si="25"/>
        <v>0.45977011494252884</v>
      </c>
      <c r="Z78" s="8">
        <f t="shared" si="25"/>
        <v>-0.26359205099362581</v>
      </c>
      <c r="AA78" s="8">
        <f t="shared" si="25"/>
        <v>-0.40936863543788182</v>
      </c>
      <c r="AB78" s="8">
        <f t="shared" si="25"/>
        <v>0.63534482758620681</v>
      </c>
      <c r="AC78" s="8">
        <f t="shared" si="25"/>
        <v>0.41328413284132837</v>
      </c>
      <c r="AD78" s="8">
        <f t="shared" si="25"/>
        <v>-0.11637448713166731</v>
      </c>
      <c r="AE78" s="8">
        <f t="shared" si="25"/>
        <v>-0.35078092021950191</v>
      </c>
      <c r="AF78" s="8">
        <f t="shared" si="25"/>
        <v>7.4772431729518862E-2</v>
      </c>
      <c r="AG78" s="8">
        <f t="shared" si="25"/>
        <v>0.46521476104053239</v>
      </c>
      <c r="AH78" s="8">
        <f t="shared" si="25"/>
        <v>-0.16226259289843104</v>
      </c>
      <c r="AI78" s="8">
        <f t="shared" si="25"/>
        <v>-0.19024149827501236</v>
      </c>
      <c r="AJ78" s="8">
        <f t="shared" si="25"/>
        <v>0.36335970785149119</v>
      </c>
      <c r="AK78" s="8">
        <f t="shared" si="25"/>
        <v>0.1785714285714286</v>
      </c>
      <c r="AL78" s="8">
        <f t="shared" si="25"/>
        <v>-0.14583333333333337</v>
      </c>
      <c r="AM78" s="8">
        <f t="shared" si="25"/>
        <v>1.5521064301552201E-2</v>
      </c>
    </row>
    <row r="79" spans="1:39" x14ac:dyDescent="0.25">
      <c r="A79" s="5">
        <f t="shared" si="12"/>
        <v>1995</v>
      </c>
      <c r="B79" s="5">
        <f t="shared" si="13"/>
        <v>24</v>
      </c>
      <c r="C79" s="2">
        <v>34866</v>
      </c>
      <c r="D79" s="1">
        <v>1863</v>
      </c>
      <c r="H79" s="5">
        <f t="shared" si="7"/>
        <v>20</v>
      </c>
      <c r="I79" s="5"/>
      <c r="J79" s="8">
        <f t="shared" ref="J79:AM79" si="26">J24/I24-1</f>
        <v>0.19100000000000006</v>
      </c>
      <c r="K79" s="8">
        <f t="shared" si="26"/>
        <v>0.32241813602015124</v>
      </c>
      <c r="L79" s="8">
        <f t="shared" si="26"/>
        <v>4.8253968253968216E-2</v>
      </c>
      <c r="M79" s="8">
        <f t="shared" si="26"/>
        <v>-0.22289521502119924</v>
      </c>
      <c r="N79" s="8">
        <f t="shared" si="26"/>
        <v>-1.247077162899457E-2</v>
      </c>
      <c r="O79" s="8">
        <f t="shared" si="26"/>
        <v>0.40094711917916337</v>
      </c>
      <c r="P79" s="8">
        <f t="shared" si="26"/>
        <v>-0.44225352112676053</v>
      </c>
      <c r="Q79" s="8">
        <f t="shared" si="26"/>
        <v>0.40202020202020194</v>
      </c>
      <c r="R79" s="8">
        <f t="shared" si="26"/>
        <v>0.15201729106628248</v>
      </c>
      <c r="S79" s="8">
        <f t="shared" si="26"/>
        <v>0.35272045028142585</v>
      </c>
      <c r="T79" s="8">
        <f t="shared" si="26"/>
        <v>-0.10032362459546929</v>
      </c>
      <c r="U79" s="8">
        <f t="shared" si="26"/>
        <v>-0.170606372045221</v>
      </c>
      <c r="V79" s="8">
        <f t="shared" si="26"/>
        <v>0.30545229244114003</v>
      </c>
      <c r="W79" s="8">
        <f t="shared" si="26"/>
        <v>2.7527289985761705E-2</v>
      </c>
      <c r="X79" s="8">
        <f t="shared" si="26"/>
        <v>-0.11362586605080827</v>
      </c>
      <c r="Y79" s="8">
        <f t="shared" si="26"/>
        <v>0.42991141219385098</v>
      </c>
      <c r="Z79" s="8">
        <f t="shared" si="26"/>
        <v>-0.25218658892128276</v>
      </c>
      <c r="AA79" s="8">
        <f t="shared" si="26"/>
        <v>-0.38255360623781676</v>
      </c>
      <c r="AB79" s="8">
        <f t="shared" si="26"/>
        <v>0.56985003946329904</v>
      </c>
      <c r="AC79" s="8">
        <f t="shared" si="26"/>
        <v>0.38461538461538458</v>
      </c>
      <c r="AD79" s="8">
        <f t="shared" si="26"/>
        <v>-0.11256354393609291</v>
      </c>
      <c r="AE79" s="8">
        <f t="shared" si="26"/>
        <v>-0.33346972176759415</v>
      </c>
      <c r="AF79" s="8">
        <f t="shared" si="26"/>
        <v>7.6120319214241894E-2</v>
      </c>
      <c r="AG79" s="8">
        <f t="shared" si="26"/>
        <v>0.42783799201369077</v>
      </c>
      <c r="AH79" s="8">
        <f t="shared" si="26"/>
        <v>-0.16100679184978028</v>
      </c>
      <c r="AI79" s="8">
        <f t="shared" si="26"/>
        <v>-0.17523809523809519</v>
      </c>
      <c r="AJ79" s="8">
        <f t="shared" si="26"/>
        <v>0.34872979214780608</v>
      </c>
      <c r="AK79" s="8">
        <f t="shared" si="26"/>
        <v>0.1639554794520548</v>
      </c>
      <c r="AL79" s="8">
        <f t="shared" si="26"/>
        <v>-0.12651710187568954</v>
      </c>
      <c r="AM79" s="8">
        <f t="shared" si="26"/>
        <v>6.7368421052631522E-3</v>
      </c>
    </row>
    <row r="80" spans="1:39" x14ac:dyDescent="0.25">
      <c r="A80" s="5">
        <f t="shared" si="12"/>
        <v>1995</v>
      </c>
      <c r="B80" s="5">
        <f t="shared" si="13"/>
        <v>25</v>
      </c>
      <c r="C80" s="2">
        <v>34873</v>
      </c>
      <c r="D80" s="1">
        <v>1950</v>
      </c>
      <c r="H80" s="5">
        <f t="shared" si="7"/>
        <v>21</v>
      </c>
      <c r="I80" s="5"/>
      <c r="J80" s="8">
        <f t="shared" ref="J80:AM80" si="27">J25/I25-1</f>
        <v>0.16836262719703976</v>
      </c>
      <c r="K80" s="8">
        <f t="shared" si="27"/>
        <v>0.31274742676167855</v>
      </c>
      <c r="L80" s="8">
        <f t="shared" si="27"/>
        <v>4.1013268998793651E-2</v>
      </c>
      <c r="M80" s="8">
        <f t="shared" si="27"/>
        <v>-0.22769409038238697</v>
      </c>
      <c r="N80" s="8">
        <f t="shared" si="27"/>
        <v>1.5753938484621255E-2</v>
      </c>
      <c r="O80" s="8">
        <f t="shared" si="27"/>
        <v>0.36410635155096016</v>
      </c>
      <c r="P80" s="8">
        <f t="shared" si="27"/>
        <v>-0.41256090958310776</v>
      </c>
      <c r="Q80" s="8">
        <f t="shared" si="27"/>
        <v>0.3612903225806452</v>
      </c>
      <c r="R80" s="8">
        <f t="shared" si="27"/>
        <v>0.14556533513879488</v>
      </c>
      <c r="S80" s="8">
        <f t="shared" si="27"/>
        <v>0.3256501182033098</v>
      </c>
      <c r="T80" s="8">
        <f t="shared" si="27"/>
        <v>-8.4707980383415094E-2</v>
      </c>
      <c r="U80" s="8">
        <f t="shared" si="27"/>
        <v>-0.17145640526059425</v>
      </c>
      <c r="V80" s="8">
        <f t="shared" si="27"/>
        <v>0.30099941211052328</v>
      </c>
      <c r="W80" s="8">
        <f t="shared" si="27"/>
        <v>2.4853140533212859E-2</v>
      </c>
      <c r="X80" s="8">
        <f t="shared" si="27"/>
        <v>-0.10802469135802473</v>
      </c>
      <c r="Y80" s="8">
        <f t="shared" si="27"/>
        <v>0.39149777558082066</v>
      </c>
      <c r="Z80" s="8">
        <f t="shared" si="27"/>
        <v>-0.23907637655417402</v>
      </c>
      <c r="AA80" s="8">
        <f t="shared" si="27"/>
        <v>-0.35574229691876746</v>
      </c>
      <c r="AB80" s="8">
        <f t="shared" si="27"/>
        <v>0.52246376811594208</v>
      </c>
      <c r="AC80" s="8">
        <f t="shared" si="27"/>
        <v>0.34459781056639693</v>
      </c>
      <c r="AD80" s="8">
        <f t="shared" si="27"/>
        <v>-0.10619469026548678</v>
      </c>
      <c r="AE80" s="8">
        <f t="shared" si="27"/>
        <v>-0.31683168316831678</v>
      </c>
      <c r="AF80" s="8">
        <f t="shared" si="27"/>
        <v>8.2318840579710173E-2</v>
      </c>
      <c r="AG80" s="8">
        <f t="shared" si="27"/>
        <v>0.39903588644884835</v>
      </c>
      <c r="AH80" s="8">
        <f t="shared" si="27"/>
        <v>-0.15199081163859107</v>
      </c>
      <c r="AI80" s="8">
        <f t="shared" si="27"/>
        <v>-0.17878103837471782</v>
      </c>
      <c r="AJ80" s="8">
        <f t="shared" si="27"/>
        <v>0.34469488730071474</v>
      </c>
      <c r="AK80" s="8">
        <f t="shared" si="27"/>
        <v>0.14636140637775963</v>
      </c>
      <c r="AL80" s="8">
        <f t="shared" si="27"/>
        <v>-0.11697574893009988</v>
      </c>
      <c r="AM80" s="8">
        <f t="shared" si="27"/>
        <v>2.8271405492730217E-3</v>
      </c>
    </row>
    <row r="81" spans="1:39" x14ac:dyDescent="0.25">
      <c r="A81" s="5">
        <f t="shared" si="12"/>
        <v>1995</v>
      </c>
      <c r="B81" s="5">
        <f t="shared" si="13"/>
        <v>26</v>
      </c>
      <c r="C81" s="2">
        <v>34880</v>
      </c>
      <c r="D81" s="1">
        <v>2014</v>
      </c>
      <c r="H81" s="5">
        <f t="shared" si="7"/>
        <v>22</v>
      </c>
      <c r="I81" s="5"/>
      <c r="J81" s="8">
        <f t="shared" ref="J81:AM81" si="28">J26/I26-1</f>
        <v>0.1653746770025839</v>
      </c>
      <c r="K81" s="8">
        <f t="shared" si="28"/>
        <v>0.29563932002956395</v>
      </c>
      <c r="L81" s="8">
        <f t="shared" si="28"/>
        <v>2.452937820878498E-2</v>
      </c>
      <c r="M81" s="8">
        <f t="shared" si="28"/>
        <v>-0.23051224944320714</v>
      </c>
      <c r="N81" s="8">
        <f t="shared" si="28"/>
        <v>5.4269175108538459E-2</v>
      </c>
      <c r="O81" s="8">
        <f t="shared" si="28"/>
        <v>0.34111187371310914</v>
      </c>
      <c r="P81" s="8">
        <f t="shared" si="28"/>
        <v>-0.38638689866939613</v>
      </c>
      <c r="Q81" s="8">
        <f t="shared" si="28"/>
        <v>0.30442035029190984</v>
      </c>
      <c r="R81" s="8">
        <f t="shared" si="28"/>
        <v>0.13682864450127874</v>
      </c>
      <c r="S81" s="8">
        <f t="shared" si="28"/>
        <v>0.30483689538807646</v>
      </c>
      <c r="T81" s="8">
        <f t="shared" si="28"/>
        <v>-6.7672413793103403E-2</v>
      </c>
      <c r="U81" s="8">
        <f t="shared" si="28"/>
        <v>-0.16504854368932043</v>
      </c>
      <c r="V81" s="8">
        <f t="shared" si="28"/>
        <v>0.29401993355481726</v>
      </c>
      <c r="W81" s="8">
        <f t="shared" si="28"/>
        <v>8.5579803166453416E-3</v>
      </c>
      <c r="X81" s="8">
        <f t="shared" si="28"/>
        <v>-0.10606703436571918</v>
      </c>
      <c r="Y81" s="8">
        <f t="shared" si="28"/>
        <v>0.36544850498338866</v>
      </c>
      <c r="Z81" s="8">
        <f t="shared" si="28"/>
        <v>-0.21724018074383034</v>
      </c>
      <c r="AA81" s="8">
        <f t="shared" si="28"/>
        <v>-0.33436944937833035</v>
      </c>
      <c r="AB81" s="8">
        <f t="shared" si="28"/>
        <v>0.4896597731821215</v>
      </c>
      <c r="AC81" s="8">
        <f t="shared" si="28"/>
        <v>0.30183609493954311</v>
      </c>
      <c r="AD81" s="8">
        <f t="shared" si="28"/>
        <v>-9.4943240454076316E-2</v>
      </c>
      <c r="AE81" s="8">
        <f t="shared" si="28"/>
        <v>-0.30938806537438235</v>
      </c>
      <c r="AF81" s="8">
        <f t="shared" si="28"/>
        <v>9.3010456796918106E-2</v>
      </c>
      <c r="AG81" s="8">
        <f t="shared" si="28"/>
        <v>0.36656596173212486</v>
      </c>
      <c r="AH81" s="8">
        <f t="shared" si="28"/>
        <v>-0.14775239498894621</v>
      </c>
      <c r="AI81" s="8">
        <f t="shared" si="28"/>
        <v>-0.1781236489407696</v>
      </c>
      <c r="AJ81" s="8">
        <f t="shared" si="28"/>
        <v>0.34139926354550232</v>
      </c>
      <c r="AK81" s="8">
        <f t="shared" si="28"/>
        <v>0.13725490196078427</v>
      </c>
      <c r="AL81" s="8">
        <f t="shared" si="28"/>
        <v>-0.10413793103448277</v>
      </c>
      <c r="AM81" s="8">
        <f t="shared" si="28"/>
        <v>-7.6982294072363011E-3</v>
      </c>
    </row>
    <row r="82" spans="1:39" x14ac:dyDescent="0.25">
      <c r="A82" s="5">
        <f t="shared" si="12"/>
        <v>1995</v>
      </c>
      <c r="B82" s="5">
        <f t="shared" si="13"/>
        <v>27</v>
      </c>
      <c r="C82" s="2">
        <v>34887</v>
      </c>
      <c r="D82" s="1">
        <v>2125</v>
      </c>
      <c r="H82" s="5">
        <f t="shared" si="7"/>
        <v>23</v>
      </c>
      <c r="I82" s="5"/>
      <c r="J82" s="8">
        <f t="shared" ref="J82:AM82" si="29">J27/I27-1</f>
        <v>0.1534772182254196</v>
      </c>
      <c r="K82" s="8">
        <f t="shared" si="29"/>
        <v>0.26957726957726957</v>
      </c>
      <c r="L82" s="8">
        <f t="shared" si="29"/>
        <v>2.893013100436681E-2</v>
      </c>
      <c r="M82" s="8">
        <f t="shared" si="29"/>
        <v>-0.22811671087533159</v>
      </c>
      <c r="N82" s="8">
        <f t="shared" si="29"/>
        <v>7.2164948453608213E-2</v>
      </c>
      <c r="O82" s="8">
        <f t="shared" si="29"/>
        <v>0.30897435897435899</v>
      </c>
      <c r="P82" s="8">
        <f t="shared" si="29"/>
        <v>-0.35161606268364354</v>
      </c>
      <c r="Q82" s="8">
        <f t="shared" si="29"/>
        <v>0.2583081570996979</v>
      </c>
      <c r="R82" s="8">
        <f t="shared" si="29"/>
        <v>0.13025210084033612</v>
      </c>
      <c r="S82" s="8">
        <f t="shared" si="29"/>
        <v>0.27296866702071165</v>
      </c>
      <c r="T82" s="8">
        <f t="shared" si="29"/>
        <v>-5.9240717563621148E-2</v>
      </c>
      <c r="U82" s="8">
        <f t="shared" si="29"/>
        <v>-0.16363636363636369</v>
      </c>
      <c r="V82" s="8">
        <f t="shared" si="29"/>
        <v>0.29533404029692467</v>
      </c>
      <c r="W82" s="8">
        <f t="shared" si="29"/>
        <v>5.3213262382316717E-3</v>
      </c>
      <c r="X82" s="8">
        <f t="shared" si="29"/>
        <v>-0.10912052117263848</v>
      </c>
      <c r="Y82" s="8">
        <f t="shared" si="29"/>
        <v>0.34552102376599625</v>
      </c>
      <c r="Z82" s="8">
        <f t="shared" si="29"/>
        <v>-0.20278532608695654</v>
      </c>
      <c r="AA82" s="8">
        <f t="shared" si="29"/>
        <v>-0.31529612270984231</v>
      </c>
      <c r="AB82" s="8">
        <f t="shared" si="29"/>
        <v>0.45861854387056633</v>
      </c>
      <c r="AC82" s="8">
        <f t="shared" si="29"/>
        <v>0.26791808873720147</v>
      </c>
      <c r="AD82" s="8">
        <f t="shared" si="29"/>
        <v>-8.8492597577388921E-2</v>
      </c>
      <c r="AE82" s="8">
        <f t="shared" si="29"/>
        <v>-0.29383536360280549</v>
      </c>
      <c r="AF82" s="8">
        <f t="shared" si="29"/>
        <v>9.1479351803450015E-2</v>
      </c>
      <c r="AG82" s="8">
        <f t="shared" si="29"/>
        <v>0.34434865900383138</v>
      </c>
      <c r="AH82" s="8">
        <f t="shared" si="29"/>
        <v>-0.14107588172426078</v>
      </c>
      <c r="AI82" s="8">
        <f t="shared" si="29"/>
        <v>-0.16922438822065533</v>
      </c>
      <c r="AJ82" s="8">
        <f t="shared" si="29"/>
        <v>0.31502745881178229</v>
      </c>
      <c r="AK82" s="8">
        <f t="shared" si="29"/>
        <v>0.12908124525436593</v>
      </c>
      <c r="AL82" s="8">
        <f t="shared" si="29"/>
        <v>-8.9778076664425055E-2</v>
      </c>
      <c r="AM82" s="8">
        <f t="shared" si="29"/>
        <v>-7.7576653121537165E-3</v>
      </c>
    </row>
    <row r="83" spans="1:39" x14ac:dyDescent="0.25">
      <c r="A83" s="5">
        <f t="shared" si="12"/>
        <v>1995</v>
      </c>
      <c r="B83" s="5">
        <f t="shared" si="13"/>
        <v>28</v>
      </c>
      <c r="C83" s="2">
        <v>34894</v>
      </c>
      <c r="D83" s="1">
        <v>2189</v>
      </c>
      <c r="H83" s="5">
        <f t="shared" si="7"/>
        <v>24</v>
      </c>
      <c r="I83" s="5"/>
      <c r="J83" s="8">
        <f t="shared" ref="J83:AM83" si="30">J28/I28-1</f>
        <v>0.1472346786248131</v>
      </c>
      <c r="K83" s="8">
        <f t="shared" si="30"/>
        <v>0.25863192182410422</v>
      </c>
      <c r="L83" s="8">
        <f t="shared" si="30"/>
        <v>4.6583850931676274E-3</v>
      </c>
      <c r="M83" s="8">
        <f t="shared" si="30"/>
        <v>-0.21071612570839771</v>
      </c>
      <c r="N83" s="8">
        <f t="shared" si="30"/>
        <v>8.6161879895561455E-2</v>
      </c>
      <c r="O83" s="8">
        <f t="shared" si="30"/>
        <v>0.27584134615384626</v>
      </c>
      <c r="P83" s="8">
        <f t="shared" si="30"/>
        <v>-0.3226566179934055</v>
      </c>
      <c r="Q83" s="8">
        <f t="shared" si="30"/>
        <v>0.22392211404728779</v>
      </c>
      <c r="R83" s="8">
        <f t="shared" si="30"/>
        <v>0.11136363636363633</v>
      </c>
      <c r="S83" s="8">
        <f t="shared" si="30"/>
        <v>0.26584867075664631</v>
      </c>
      <c r="T83" s="8">
        <f t="shared" si="30"/>
        <v>-5.3311793214862679E-2</v>
      </c>
      <c r="U83" s="8">
        <f t="shared" si="30"/>
        <v>-0.1710750853242321</v>
      </c>
      <c r="V83" s="8">
        <f t="shared" si="30"/>
        <v>0.31600617601646941</v>
      </c>
      <c r="W83" s="8">
        <f t="shared" si="30"/>
        <v>-5.8662495111458934E-3</v>
      </c>
      <c r="X83" s="8">
        <f t="shared" si="30"/>
        <v>-0.11211644374508256</v>
      </c>
      <c r="Y83" s="8">
        <f t="shared" si="30"/>
        <v>0.33185644661054492</v>
      </c>
      <c r="Z83" s="8">
        <f t="shared" si="30"/>
        <v>-0.18862275449101795</v>
      </c>
      <c r="AA83" s="8">
        <f t="shared" si="30"/>
        <v>-0.29520295202952029</v>
      </c>
      <c r="AB83" s="8">
        <f t="shared" si="30"/>
        <v>0.41535776614310649</v>
      </c>
      <c r="AC83" s="8">
        <f t="shared" si="30"/>
        <v>0.24989724619810927</v>
      </c>
      <c r="AD83" s="8">
        <f t="shared" si="30"/>
        <v>-8.9115422558368906E-2</v>
      </c>
      <c r="AE83" s="8">
        <f t="shared" si="30"/>
        <v>-0.27509025270758125</v>
      </c>
      <c r="AF83" s="8">
        <f t="shared" si="30"/>
        <v>9.7111553784860583E-2</v>
      </c>
      <c r="AG83" s="8">
        <f t="shared" si="30"/>
        <v>0.31275533363595098</v>
      </c>
      <c r="AH83" s="8">
        <f t="shared" si="30"/>
        <v>-0.16078838174273857</v>
      </c>
      <c r="AI83" s="8">
        <f t="shared" si="30"/>
        <v>-0.13679439637412438</v>
      </c>
      <c r="AJ83" s="8">
        <f t="shared" si="30"/>
        <v>0.30262529832935559</v>
      </c>
      <c r="AK83" s="8">
        <f t="shared" si="30"/>
        <v>0.11579333089043597</v>
      </c>
      <c r="AL83" s="8">
        <f t="shared" si="30"/>
        <v>-7.98029556650246E-2</v>
      </c>
      <c r="AM83" s="8">
        <f t="shared" si="30"/>
        <v>-1.5346181299072059E-2</v>
      </c>
    </row>
    <row r="84" spans="1:39" x14ac:dyDescent="0.25">
      <c r="A84" s="5">
        <f t="shared" si="12"/>
        <v>1995</v>
      </c>
      <c r="B84" s="5">
        <f t="shared" si="13"/>
        <v>29</v>
      </c>
      <c r="C84" s="2">
        <v>34901</v>
      </c>
      <c r="D84" s="1">
        <v>2239</v>
      </c>
      <c r="H84" s="5">
        <f t="shared" si="7"/>
        <v>25</v>
      </c>
      <c r="I84" s="5"/>
      <c r="J84" s="8">
        <f t="shared" ref="J84:AM84" si="31">J29/I29-1</f>
        <v>0.14335910049191858</v>
      </c>
      <c r="K84" s="8">
        <f t="shared" si="31"/>
        <v>0.2354025814382299</v>
      </c>
      <c r="L84" s="8">
        <f t="shared" si="31"/>
        <v>4.9751243781095411E-3</v>
      </c>
      <c r="M84" s="8">
        <f t="shared" si="31"/>
        <v>-0.21237623762376234</v>
      </c>
      <c r="N84" s="8">
        <f t="shared" si="31"/>
        <v>0.11125078566939028</v>
      </c>
      <c r="O84" s="8">
        <f t="shared" si="31"/>
        <v>0.25452488687782804</v>
      </c>
      <c r="P84" s="8">
        <f t="shared" si="31"/>
        <v>-0.29440937781785392</v>
      </c>
      <c r="Q84" s="8">
        <f t="shared" si="31"/>
        <v>0.17891373801916943</v>
      </c>
      <c r="R84" s="8">
        <f t="shared" si="31"/>
        <v>0.10352303523035222</v>
      </c>
      <c r="S84" s="8">
        <f t="shared" si="31"/>
        <v>0.2485265225933202</v>
      </c>
      <c r="T84" s="8">
        <f t="shared" si="31"/>
        <v>-3.8945712037765534E-2</v>
      </c>
      <c r="U84" s="8">
        <f t="shared" si="31"/>
        <v>-0.16782644289807613</v>
      </c>
      <c r="V84" s="8">
        <f t="shared" si="31"/>
        <v>0.30398425971470733</v>
      </c>
      <c r="W84" s="8">
        <f t="shared" si="31"/>
        <v>-9.8076197661259856E-3</v>
      </c>
      <c r="X84" s="8">
        <f t="shared" si="31"/>
        <v>-0.10323809523809524</v>
      </c>
      <c r="Y84" s="8">
        <f t="shared" si="31"/>
        <v>0.30118946474086661</v>
      </c>
      <c r="Z84" s="8">
        <f t="shared" si="31"/>
        <v>-0.17303297420829256</v>
      </c>
      <c r="AA84" s="8">
        <f t="shared" si="31"/>
        <v>-0.27793130675088829</v>
      </c>
      <c r="AB84" s="8">
        <f t="shared" si="31"/>
        <v>0.37014762165117543</v>
      </c>
      <c r="AC84" s="8">
        <f t="shared" si="31"/>
        <v>0.23822825219473254</v>
      </c>
      <c r="AD84" s="8">
        <f t="shared" si="31"/>
        <v>-9.2491137608765706E-2</v>
      </c>
      <c r="AE84" s="8">
        <f t="shared" si="31"/>
        <v>-0.26349431818181823</v>
      </c>
      <c r="AF84" s="8">
        <f t="shared" si="31"/>
        <v>0.10945033751205391</v>
      </c>
      <c r="AG84" s="8">
        <f t="shared" si="31"/>
        <v>0.30899608865710571</v>
      </c>
      <c r="AH84" s="8">
        <f t="shared" si="31"/>
        <v>-0.17596281540504644</v>
      </c>
      <c r="AI84" s="8">
        <f t="shared" si="31"/>
        <v>-0.12610797743755031</v>
      </c>
      <c r="AJ84" s="8">
        <f t="shared" si="31"/>
        <v>0.29322268326417711</v>
      </c>
      <c r="AK84" s="8">
        <f t="shared" si="31"/>
        <v>0.10588235294117654</v>
      </c>
      <c r="AL84" s="8">
        <f t="shared" si="31"/>
        <v>-6.5764023210831746E-2</v>
      </c>
      <c r="AM84" s="8">
        <f t="shared" si="31"/>
        <v>-2.1739130434782594E-2</v>
      </c>
    </row>
    <row r="85" spans="1:39" x14ac:dyDescent="0.25">
      <c r="A85" s="5">
        <f t="shared" si="12"/>
        <v>1995</v>
      </c>
      <c r="B85" s="5">
        <f t="shared" si="13"/>
        <v>30</v>
      </c>
      <c r="C85" s="2">
        <v>34908</v>
      </c>
      <c r="D85" s="1">
        <v>2289</v>
      </c>
      <c r="H85" s="5">
        <f t="shared" si="7"/>
        <v>26</v>
      </c>
      <c r="I85" s="5"/>
      <c r="J85" s="8">
        <f t="shared" ref="J85:AM85" si="32">J30/I30-1</f>
        <v>0.12408759124087587</v>
      </c>
      <c r="K85" s="8">
        <f t="shared" si="32"/>
        <v>0.22491145218417952</v>
      </c>
      <c r="L85" s="8">
        <f t="shared" si="32"/>
        <v>1.493975903614464E-2</v>
      </c>
      <c r="M85" s="8">
        <f t="shared" si="32"/>
        <v>-0.21320037986704654</v>
      </c>
      <c r="N85" s="8">
        <f t="shared" si="32"/>
        <v>0.12673506336753171</v>
      </c>
      <c r="O85" s="8">
        <f t="shared" si="32"/>
        <v>0.22442420996250667</v>
      </c>
      <c r="P85" s="8">
        <f t="shared" si="32"/>
        <v>-0.27296587926509186</v>
      </c>
      <c r="Q85" s="8">
        <f t="shared" si="32"/>
        <v>0.1660649819494584</v>
      </c>
      <c r="R85" s="8">
        <f t="shared" si="32"/>
        <v>0.10061919504643968</v>
      </c>
      <c r="S85" s="8">
        <f t="shared" si="32"/>
        <v>0.22597280825128929</v>
      </c>
      <c r="T85" s="8">
        <f t="shared" si="32"/>
        <v>-3.5946462715105154E-2</v>
      </c>
      <c r="U85" s="8">
        <f t="shared" si="32"/>
        <v>-0.15985719952399846</v>
      </c>
      <c r="V85" s="8">
        <f t="shared" si="32"/>
        <v>0.2847025495750708</v>
      </c>
      <c r="W85" s="8">
        <f t="shared" si="32"/>
        <v>-1.3597941933112812E-2</v>
      </c>
      <c r="X85" s="8">
        <f t="shared" si="32"/>
        <v>-9.3889716840536486E-2</v>
      </c>
      <c r="Y85" s="8">
        <f t="shared" si="32"/>
        <v>0.27549342105263164</v>
      </c>
      <c r="Z85" s="8">
        <f t="shared" si="32"/>
        <v>-0.15989684074790456</v>
      </c>
      <c r="AA85" s="8">
        <f t="shared" si="32"/>
        <v>-0.26016884113584038</v>
      </c>
      <c r="AB85" s="8">
        <f t="shared" si="32"/>
        <v>0.33765560165975095</v>
      </c>
      <c r="AC85" s="8">
        <f t="shared" si="32"/>
        <v>0.21752617293524623</v>
      </c>
      <c r="AD85" s="8">
        <f t="shared" si="32"/>
        <v>-8.3439490445859854E-2</v>
      </c>
      <c r="AE85" s="8">
        <f t="shared" si="32"/>
        <v>-0.25225851285615009</v>
      </c>
      <c r="AF85" s="8">
        <f t="shared" si="32"/>
        <v>0.1105947955390334</v>
      </c>
      <c r="AG85" s="8">
        <f t="shared" si="32"/>
        <v>0.28744769874476983</v>
      </c>
      <c r="AH85" s="8">
        <f t="shared" si="32"/>
        <v>-0.16867078323041929</v>
      </c>
      <c r="AI85" s="8">
        <f t="shared" si="32"/>
        <v>-0.12001563721657549</v>
      </c>
      <c r="AJ85" s="8">
        <f t="shared" si="32"/>
        <v>0.27987561083962675</v>
      </c>
      <c r="AK85" s="8">
        <f t="shared" si="32"/>
        <v>8.7816730301978563E-2</v>
      </c>
      <c r="AL85" s="8">
        <f t="shared" si="32"/>
        <v>-5.7753669432035748E-2</v>
      </c>
      <c r="AM85" s="8">
        <f t="shared" si="32"/>
        <v>-1.0497798848628559E-2</v>
      </c>
    </row>
    <row r="86" spans="1:39" x14ac:dyDescent="0.25">
      <c r="A86" s="5">
        <f t="shared" si="12"/>
        <v>1995</v>
      </c>
      <c r="B86" s="5">
        <f t="shared" si="13"/>
        <v>31</v>
      </c>
      <c r="C86" s="2">
        <v>34915</v>
      </c>
      <c r="D86" s="1">
        <v>2320</v>
      </c>
      <c r="H86" s="5">
        <f t="shared" si="7"/>
        <v>27</v>
      </c>
      <c r="I86" s="5"/>
      <c r="J86" s="8">
        <f t="shared" ref="J86:AM86" si="33">J31/I31-1</f>
        <v>0.12052730696798486</v>
      </c>
      <c r="K86" s="8">
        <f t="shared" si="33"/>
        <v>0.20056022408963581</v>
      </c>
      <c r="L86" s="8">
        <f t="shared" si="33"/>
        <v>1.213252449836677E-2</v>
      </c>
      <c r="M86" s="8">
        <f t="shared" si="33"/>
        <v>-0.20839096357768561</v>
      </c>
      <c r="N86" s="8">
        <f t="shared" si="33"/>
        <v>0.1496796738497379</v>
      </c>
      <c r="O86" s="8">
        <f t="shared" si="33"/>
        <v>0.19199594731509628</v>
      </c>
      <c r="P86" s="8">
        <f t="shared" si="33"/>
        <v>-0.23119422014449642</v>
      </c>
      <c r="Q86" s="8">
        <f t="shared" si="33"/>
        <v>0.13156440022111671</v>
      </c>
      <c r="R86" s="8">
        <f t="shared" si="33"/>
        <v>7.4255007327796774E-2</v>
      </c>
      <c r="S86" s="8">
        <f t="shared" si="33"/>
        <v>0.229649840836744</v>
      </c>
      <c r="T86" s="8">
        <f t="shared" si="33"/>
        <v>-2.8476331360946738E-2</v>
      </c>
      <c r="U86" s="8">
        <f t="shared" si="33"/>
        <v>-0.15949752569470876</v>
      </c>
      <c r="V86" s="8">
        <f t="shared" si="33"/>
        <v>0.26630434782608692</v>
      </c>
      <c r="W86" s="8">
        <f t="shared" si="33"/>
        <v>-1.2517882689556559E-2</v>
      </c>
      <c r="X86" s="8">
        <f t="shared" si="33"/>
        <v>-8.5114089098152879E-2</v>
      </c>
      <c r="Y86" s="8">
        <f t="shared" si="33"/>
        <v>0.24109263657957247</v>
      </c>
      <c r="Z86" s="8">
        <f t="shared" si="33"/>
        <v>-0.14290271132376398</v>
      </c>
      <c r="AA86" s="8">
        <f t="shared" si="33"/>
        <v>-0.24711574246371415</v>
      </c>
      <c r="AB86" s="8">
        <f t="shared" si="33"/>
        <v>0.31784478497281254</v>
      </c>
      <c r="AC86" s="8">
        <f t="shared" si="33"/>
        <v>0.19242310577644406</v>
      </c>
      <c r="AD86" s="8">
        <f t="shared" si="33"/>
        <v>-7.6439131802453653E-2</v>
      </c>
      <c r="AE86" s="8">
        <f t="shared" si="33"/>
        <v>-0.24965940054495916</v>
      </c>
      <c r="AF86" s="8">
        <f t="shared" si="33"/>
        <v>0.12165229232864272</v>
      </c>
      <c r="AG86" s="8">
        <f t="shared" si="33"/>
        <v>0.2679077296641037</v>
      </c>
      <c r="AH86" s="8">
        <f t="shared" si="33"/>
        <v>-0.17842323651452285</v>
      </c>
      <c r="AI86" s="8">
        <f t="shared" si="33"/>
        <v>-0.10217560217560218</v>
      </c>
      <c r="AJ86" s="8">
        <f t="shared" si="33"/>
        <v>0.26784941583729993</v>
      </c>
      <c r="AK86" s="8">
        <f t="shared" si="33"/>
        <v>9.1808873720136575E-2</v>
      </c>
      <c r="AL86" s="8">
        <f t="shared" si="33"/>
        <v>-6.033135354798369E-2</v>
      </c>
      <c r="AM86" s="8">
        <f t="shared" si="33"/>
        <v>-7.6513639387890686E-3</v>
      </c>
    </row>
    <row r="87" spans="1:39" x14ac:dyDescent="0.25">
      <c r="A87" s="5">
        <f t="shared" si="12"/>
        <v>1995</v>
      </c>
      <c r="B87" s="5">
        <f t="shared" si="13"/>
        <v>32</v>
      </c>
      <c r="C87" s="2">
        <v>34922</v>
      </c>
      <c r="D87" s="1">
        <v>2371</v>
      </c>
      <c r="H87" s="5">
        <f t="shared" si="7"/>
        <v>28</v>
      </c>
      <c r="I87" s="5"/>
      <c r="J87" s="8">
        <f t="shared" ref="J87:AM87" si="34">J32/I32-1</f>
        <v>0.10985748218527314</v>
      </c>
      <c r="K87" s="8">
        <f t="shared" si="34"/>
        <v>0.19368646334938466</v>
      </c>
      <c r="L87" s="8">
        <f t="shared" si="34"/>
        <v>-1.3446884805020654E-3</v>
      </c>
      <c r="M87" s="8">
        <f t="shared" si="34"/>
        <v>-0.18671454219030525</v>
      </c>
      <c r="N87" s="8">
        <f t="shared" si="34"/>
        <v>0.14514348785871967</v>
      </c>
      <c r="O87" s="8">
        <f t="shared" si="34"/>
        <v>0.16722891566265052</v>
      </c>
      <c r="P87" s="8">
        <f t="shared" si="34"/>
        <v>-0.21387283236994215</v>
      </c>
      <c r="Q87" s="8">
        <f t="shared" si="34"/>
        <v>0.13182773109243695</v>
      </c>
      <c r="R87" s="8">
        <f t="shared" si="34"/>
        <v>6.3109048723897887E-2</v>
      </c>
      <c r="S87" s="8">
        <f t="shared" si="34"/>
        <v>0.2060235704932345</v>
      </c>
      <c r="T87" s="8">
        <f t="shared" si="34"/>
        <v>-2.5696706478465448E-2</v>
      </c>
      <c r="U87" s="8">
        <f t="shared" si="34"/>
        <v>-0.14115898959881135</v>
      </c>
      <c r="V87" s="8">
        <f t="shared" si="34"/>
        <v>0.24826989619377171</v>
      </c>
      <c r="W87" s="8">
        <f t="shared" si="34"/>
        <v>-1.5592515592515621E-2</v>
      </c>
      <c r="X87" s="8">
        <f t="shared" si="34"/>
        <v>-8.0957409362900412E-2</v>
      </c>
      <c r="Y87" s="8">
        <f t="shared" si="34"/>
        <v>0.21141325162772895</v>
      </c>
      <c r="Z87" s="8">
        <f t="shared" si="34"/>
        <v>-0.1321530192854885</v>
      </c>
      <c r="AA87" s="8">
        <f t="shared" si="34"/>
        <v>-0.2247723132969035</v>
      </c>
      <c r="AB87" s="8">
        <f t="shared" si="34"/>
        <v>0.29887218045112784</v>
      </c>
      <c r="AC87" s="8">
        <f t="shared" si="34"/>
        <v>0.17329956584659922</v>
      </c>
      <c r="AD87" s="8">
        <f t="shared" si="34"/>
        <v>-8.6339808818994723E-2</v>
      </c>
      <c r="AE87" s="8">
        <f t="shared" si="34"/>
        <v>-0.24130948363145466</v>
      </c>
      <c r="AF87" s="8">
        <f t="shared" si="34"/>
        <v>0.12677935943060503</v>
      </c>
      <c r="AG87" s="8">
        <f t="shared" si="34"/>
        <v>0.25463876825898146</v>
      </c>
      <c r="AH87" s="8">
        <f t="shared" si="34"/>
        <v>-0.17275015733165511</v>
      </c>
      <c r="AI87" s="8">
        <f t="shared" si="34"/>
        <v>-9.8896918980600934E-2</v>
      </c>
      <c r="AJ87" s="8">
        <f t="shared" si="34"/>
        <v>0.25411566061629376</v>
      </c>
      <c r="AK87" s="8">
        <f t="shared" si="34"/>
        <v>8.0107707842477227E-2</v>
      </c>
      <c r="AL87" s="8">
        <f t="shared" si="34"/>
        <v>-4.8924898722343402E-2</v>
      </c>
      <c r="AM87" s="8">
        <f t="shared" si="34"/>
        <v>-9.1743119266054496E-3</v>
      </c>
    </row>
    <row r="88" spans="1:39" x14ac:dyDescent="0.25">
      <c r="A88" s="5">
        <f t="shared" si="12"/>
        <v>1995</v>
      </c>
      <c r="B88" s="5">
        <f t="shared" si="13"/>
        <v>33</v>
      </c>
      <c r="C88" s="2">
        <v>34929</v>
      </c>
      <c r="D88" s="1">
        <v>2403</v>
      </c>
      <c r="H88" s="5">
        <f t="shared" si="7"/>
        <v>29</v>
      </c>
      <c r="I88" s="5"/>
      <c r="J88" s="8">
        <f t="shared" ref="J88:AM88" si="35">J33/I33-1</f>
        <v>8.531073446327686E-2</v>
      </c>
      <c r="K88" s="8">
        <f t="shared" si="35"/>
        <v>0.20041644976574702</v>
      </c>
      <c r="L88" s="8">
        <f t="shared" si="35"/>
        <v>8.6730268863832727E-4</v>
      </c>
      <c r="M88" s="8">
        <f t="shared" si="35"/>
        <v>-0.18760831889081453</v>
      </c>
      <c r="N88" s="8">
        <f t="shared" si="35"/>
        <v>0.14773333333333327</v>
      </c>
      <c r="O88" s="8">
        <f t="shared" si="35"/>
        <v>0.15520446096654283</v>
      </c>
      <c r="P88" s="8">
        <f t="shared" si="35"/>
        <v>-0.20313757039420755</v>
      </c>
      <c r="Q88" s="8">
        <f t="shared" si="35"/>
        <v>0.12417970721857641</v>
      </c>
      <c r="R88" s="8">
        <f t="shared" si="35"/>
        <v>5.253704535249204E-2</v>
      </c>
      <c r="S88" s="8">
        <f t="shared" si="35"/>
        <v>0.17576791808873726</v>
      </c>
      <c r="T88" s="8">
        <f t="shared" si="35"/>
        <v>2.539912917271403E-3</v>
      </c>
      <c r="U88" s="8">
        <f t="shared" si="35"/>
        <v>-0.13282663771263115</v>
      </c>
      <c r="V88" s="8">
        <f t="shared" si="35"/>
        <v>0.23205342237061766</v>
      </c>
      <c r="W88" s="8">
        <f t="shared" si="35"/>
        <v>-1.9986449864498601E-2</v>
      </c>
      <c r="X88" s="8">
        <f t="shared" si="35"/>
        <v>-7.6736951261666131E-2</v>
      </c>
      <c r="Y88" s="8">
        <f t="shared" si="35"/>
        <v>0.19430924747285672</v>
      </c>
      <c r="Z88" s="8">
        <f t="shared" si="35"/>
        <v>-0.12664576802507832</v>
      </c>
      <c r="AA88" s="8">
        <f t="shared" si="35"/>
        <v>-0.20351758793969854</v>
      </c>
      <c r="AB88" s="8">
        <f t="shared" si="35"/>
        <v>0.27219468228931953</v>
      </c>
      <c r="AC88" s="8">
        <f t="shared" si="35"/>
        <v>0.16082182075805873</v>
      </c>
      <c r="AD88" s="8">
        <f t="shared" si="35"/>
        <v>-9.0631675312786042E-2</v>
      </c>
      <c r="AE88" s="8">
        <f t="shared" si="35"/>
        <v>-0.23758389261744961</v>
      </c>
      <c r="AF88" s="8">
        <f t="shared" si="35"/>
        <v>0.1307218309859155</v>
      </c>
      <c r="AG88" s="8">
        <f t="shared" si="35"/>
        <v>0.25145971195017514</v>
      </c>
      <c r="AH88" s="8">
        <f t="shared" si="35"/>
        <v>-0.16702954898911349</v>
      </c>
      <c r="AI88" s="8">
        <f t="shared" si="35"/>
        <v>-0.10343539955190439</v>
      </c>
      <c r="AJ88" s="8">
        <f t="shared" si="35"/>
        <v>0.24406497292794671</v>
      </c>
      <c r="AK88" s="8">
        <f t="shared" si="35"/>
        <v>8.1687311683963815E-2</v>
      </c>
      <c r="AL88" s="8">
        <f t="shared" si="35"/>
        <v>-4.8282265552460513E-2</v>
      </c>
      <c r="AM88" s="8">
        <f t="shared" si="35"/>
        <v>-6.1788617886179287E-3</v>
      </c>
    </row>
    <row r="89" spans="1:39" x14ac:dyDescent="0.25">
      <c r="A89" s="5">
        <f t="shared" si="12"/>
        <v>1995</v>
      </c>
      <c r="B89" s="5">
        <f t="shared" si="13"/>
        <v>34</v>
      </c>
      <c r="C89" s="2">
        <v>34936</v>
      </c>
      <c r="D89" s="1">
        <v>2456</v>
      </c>
      <c r="H89" s="5">
        <f t="shared" si="7"/>
        <v>30</v>
      </c>
      <c r="I89" s="5"/>
      <c r="J89" s="8">
        <f t="shared" ref="J89:AM89" si="36">J34/I34-1</f>
        <v>7.1583514099783141E-2</v>
      </c>
      <c r="K89" s="8">
        <f t="shared" si="36"/>
        <v>0.19736842105263164</v>
      </c>
      <c r="L89" s="8">
        <f t="shared" si="36"/>
        <v>-7.6077768385460764E-3</v>
      </c>
      <c r="M89" s="8">
        <f t="shared" si="36"/>
        <v>-0.18185689948892669</v>
      </c>
      <c r="N89" s="8">
        <f t="shared" si="36"/>
        <v>0.15564809994794371</v>
      </c>
      <c r="O89" s="8">
        <f t="shared" si="36"/>
        <v>0.14144144144144155</v>
      </c>
      <c r="P89" s="8">
        <f t="shared" si="36"/>
        <v>-0.18626677190213103</v>
      </c>
      <c r="Q89" s="8">
        <f t="shared" si="36"/>
        <v>0.11396702230843836</v>
      </c>
      <c r="R89" s="8">
        <f t="shared" si="36"/>
        <v>3.7440139312146181E-2</v>
      </c>
      <c r="S89" s="8">
        <f t="shared" si="36"/>
        <v>0.16449853126311376</v>
      </c>
      <c r="T89" s="8">
        <f t="shared" si="36"/>
        <v>2.3423423423423406E-2</v>
      </c>
      <c r="U89" s="8">
        <f t="shared" si="36"/>
        <v>-0.1334507042253521</v>
      </c>
      <c r="V89" s="8">
        <f t="shared" si="36"/>
        <v>0.22836245428687518</v>
      </c>
      <c r="W89" s="8">
        <f t="shared" si="36"/>
        <v>-3.4402911015547488E-2</v>
      </c>
      <c r="X89" s="8">
        <f t="shared" si="36"/>
        <v>-7.0229530661185313E-2</v>
      </c>
      <c r="Y89" s="8">
        <f t="shared" si="36"/>
        <v>0.18533529845246877</v>
      </c>
      <c r="Z89" s="8">
        <f t="shared" si="36"/>
        <v>-0.11563568542119984</v>
      </c>
      <c r="AA89" s="8">
        <f t="shared" si="36"/>
        <v>-0.189103690685413</v>
      </c>
      <c r="AB89" s="8">
        <f t="shared" si="36"/>
        <v>0.24490680537494591</v>
      </c>
      <c r="AC89" s="8">
        <f t="shared" si="36"/>
        <v>0.14693593314763231</v>
      </c>
      <c r="AD89" s="8">
        <f t="shared" si="36"/>
        <v>-8.9556769884638787E-2</v>
      </c>
      <c r="AE89" s="8">
        <f t="shared" si="36"/>
        <v>-0.23141047015671889</v>
      </c>
      <c r="AF89" s="8">
        <f t="shared" si="36"/>
        <v>0.14273318872017349</v>
      </c>
      <c r="AG89" s="8">
        <f t="shared" si="36"/>
        <v>0.23044798785117693</v>
      </c>
      <c r="AH89" s="8">
        <f t="shared" si="36"/>
        <v>-0.16260413452638078</v>
      </c>
      <c r="AI89" s="8">
        <f t="shared" si="36"/>
        <v>-0.10980103168754607</v>
      </c>
      <c r="AJ89" s="8">
        <f t="shared" si="36"/>
        <v>0.24213576158940397</v>
      </c>
      <c r="AK89" s="8">
        <f t="shared" si="36"/>
        <v>8.2639120293235502E-2</v>
      </c>
      <c r="AL89" s="8">
        <f t="shared" si="36"/>
        <v>-3.878116343490301E-2</v>
      </c>
      <c r="AM89" s="8">
        <f t="shared" si="36"/>
        <v>-1.2487992315081686E-2</v>
      </c>
    </row>
    <row r="90" spans="1:39" x14ac:dyDescent="0.25">
      <c r="A90" s="5">
        <f t="shared" si="12"/>
        <v>1995</v>
      </c>
      <c r="B90" s="5">
        <f t="shared" si="13"/>
        <v>35</v>
      </c>
      <c r="C90" s="2">
        <v>34943</v>
      </c>
      <c r="D90" s="1">
        <v>2503</v>
      </c>
      <c r="H90" s="5">
        <f t="shared" si="7"/>
        <v>31</v>
      </c>
      <c r="I90" s="5"/>
      <c r="J90" s="8">
        <f t="shared" ref="J90:AM90" si="37">J35/I35-1</f>
        <v>5.3617907339927218E-2</v>
      </c>
      <c r="K90" s="8">
        <f t="shared" si="37"/>
        <v>0.19960474308300391</v>
      </c>
      <c r="L90" s="8">
        <f t="shared" si="37"/>
        <v>-2.2652388797364087E-2</v>
      </c>
      <c r="M90" s="8">
        <f t="shared" si="37"/>
        <v>-0.16645596291613995</v>
      </c>
      <c r="N90" s="8">
        <f t="shared" si="37"/>
        <v>0.16026289180990894</v>
      </c>
      <c r="O90" s="8">
        <f t="shared" si="37"/>
        <v>0.11851851851851847</v>
      </c>
      <c r="P90" s="8">
        <f t="shared" si="37"/>
        <v>-0.16712115309700037</v>
      </c>
      <c r="Q90" s="8">
        <f t="shared" si="37"/>
        <v>0.11318989710009353</v>
      </c>
      <c r="R90" s="8">
        <f t="shared" si="37"/>
        <v>1.6806722689075571E-2</v>
      </c>
      <c r="S90" s="8">
        <f t="shared" si="37"/>
        <v>0.14173553719008258</v>
      </c>
      <c r="T90" s="8">
        <f t="shared" si="37"/>
        <v>4.3069127759681525E-2</v>
      </c>
      <c r="U90" s="8">
        <f t="shared" si="37"/>
        <v>-0.12664816099930609</v>
      </c>
      <c r="V90" s="8">
        <f t="shared" si="37"/>
        <v>0.22725466825586005</v>
      </c>
      <c r="W90" s="8">
        <f t="shared" si="37"/>
        <v>-4.5969569439948232E-2</v>
      </c>
      <c r="X90" s="8">
        <f t="shared" si="37"/>
        <v>-6.3793688496776357E-2</v>
      </c>
      <c r="Y90" s="8">
        <f t="shared" si="37"/>
        <v>0.17433852845233777</v>
      </c>
      <c r="Z90" s="8">
        <f t="shared" si="37"/>
        <v>-9.259259259259256E-2</v>
      </c>
      <c r="AA90" s="8">
        <f t="shared" si="37"/>
        <v>-0.18775510204081636</v>
      </c>
      <c r="AB90" s="8">
        <f t="shared" si="37"/>
        <v>0.21859296482412049</v>
      </c>
      <c r="AC90" s="8">
        <f t="shared" si="37"/>
        <v>0.12989690721649483</v>
      </c>
      <c r="AD90" s="8">
        <f t="shared" si="37"/>
        <v>-7.8771289537712841E-2</v>
      </c>
      <c r="AE90" s="8">
        <f t="shared" si="37"/>
        <v>-0.22317596566523601</v>
      </c>
      <c r="AF90" s="8">
        <f t="shared" si="37"/>
        <v>0.14279643008924769</v>
      </c>
      <c r="AG90" s="8">
        <f t="shared" si="37"/>
        <v>0.21755299367794723</v>
      </c>
      <c r="AH90" s="8">
        <f t="shared" si="37"/>
        <v>-0.16707391569945018</v>
      </c>
      <c r="AI90" s="8">
        <f t="shared" si="37"/>
        <v>-9.9009900990098987E-2</v>
      </c>
      <c r="AJ90" s="8">
        <f t="shared" si="37"/>
        <v>0.23321123321123327</v>
      </c>
      <c r="AK90" s="8">
        <f t="shared" si="37"/>
        <v>7.9207920792079278E-2</v>
      </c>
      <c r="AL90" s="8">
        <f t="shared" si="37"/>
        <v>-4.2813455657492394E-2</v>
      </c>
      <c r="AM90" s="8">
        <f t="shared" si="37"/>
        <v>-4.1533546325878135E-3</v>
      </c>
    </row>
    <row r="91" spans="1:39" x14ac:dyDescent="0.25">
      <c r="A91" s="5">
        <f t="shared" si="12"/>
        <v>1995</v>
      </c>
      <c r="B91" s="5">
        <f t="shared" si="13"/>
        <v>36</v>
      </c>
      <c r="C91" s="2">
        <v>34950</v>
      </c>
      <c r="D91" s="1">
        <v>2582</v>
      </c>
      <c r="H91" s="5">
        <f t="shared" si="7"/>
        <v>32</v>
      </c>
      <c r="I91" s="5"/>
      <c r="J91" s="8">
        <f t="shared" ref="J91:AM91" si="38">J36/I36-1</f>
        <v>5.3106212424849808E-2</v>
      </c>
      <c r="K91" s="8">
        <f t="shared" si="38"/>
        <v>0.18886774500475734</v>
      </c>
      <c r="L91" s="8">
        <f t="shared" si="38"/>
        <v>-3.4013605442176909E-2</v>
      </c>
      <c r="M91" s="8">
        <f t="shared" si="38"/>
        <v>-0.15658657829328915</v>
      </c>
      <c r="N91" s="8">
        <f t="shared" si="38"/>
        <v>0.14980353634577592</v>
      </c>
      <c r="O91" s="8">
        <f t="shared" si="38"/>
        <v>0.11917983767620677</v>
      </c>
      <c r="P91" s="8">
        <f t="shared" si="38"/>
        <v>-0.15190839694656488</v>
      </c>
      <c r="Q91" s="8">
        <f t="shared" si="38"/>
        <v>0.10351035103510342</v>
      </c>
      <c r="R91" s="8">
        <f t="shared" si="38"/>
        <v>4.486133768352385E-3</v>
      </c>
      <c r="S91" s="8">
        <f t="shared" si="38"/>
        <v>0.1368250101502233</v>
      </c>
      <c r="T91" s="8">
        <f t="shared" si="38"/>
        <v>3.6785714285714199E-2</v>
      </c>
      <c r="U91" s="8">
        <f t="shared" si="38"/>
        <v>-0.11574233551498447</v>
      </c>
      <c r="V91" s="8">
        <f t="shared" si="38"/>
        <v>0.22789248149590957</v>
      </c>
      <c r="W91" s="8">
        <f t="shared" si="38"/>
        <v>-5.3299492385786795E-2</v>
      </c>
      <c r="X91" s="8">
        <f t="shared" si="38"/>
        <v>-6.7359249329758675E-2</v>
      </c>
      <c r="Y91" s="8">
        <f t="shared" si="38"/>
        <v>0.17175709665828243</v>
      </c>
      <c r="Z91" s="8">
        <f t="shared" si="38"/>
        <v>-7.7890217724624344E-2</v>
      </c>
      <c r="AA91" s="8">
        <f t="shared" si="38"/>
        <v>-0.17958097771865644</v>
      </c>
      <c r="AB91" s="8">
        <f t="shared" si="38"/>
        <v>0.20591811917308478</v>
      </c>
      <c r="AC91" s="8">
        <f t="shared" si="38"/>
        <v>0.11495798319327721</v>
      </c>
      <c r="AD91" s="8">
        <f t="shared" si="38"/>
        <v>-7.0847151040096423E-2</v>
      </c>
      <c r="AE91" s="8">
        <f t="shared" si="38"/>
        <v>-0.22582738481505515</v>
      </c>
      <c r="AF91" s="8">
        <f t="shared" si="38"/>
        <v>0.14752724224643754</v>
      </c>
      <c r="AG91" s="8">
        <f t="shared" si="38"/>
        <v>0.21694667640613585</v>
      </c>
      <c r="AH91" s="8">
        <f t="shared" si="38"/>
        <v>-0.16686674669867951</v>
      </c>
      <c r="AI91" s="8">
        <f t="shared" si="38"/>
        <v>-9.9063400576368865E-2</v>
      </c>
      <c r="AJ91" s="8">
        <f t="shared" si="38"/>
        <v>0.22550979608156729</v>
      </c>
      <c r="AK91" s="8">
        <f t="shared" si="38"/>
        <v>6.4926590538336049E-2</v>
      </c>
      <c r="AL91" s="8">
        <f t="shared" si="38"/>
        <v>-2.3897058823529438E-2</v>
      </c>
      <c r="AM91" s="8">
        <f t="shared" si="38"/>
        <v>-1.0357815442561202E-2</v>
      </c>
    </row>
    <row r="92" spans="1:39" x14ac:dyDescent="0.25">
      <c r="A92" s="5">
        <f t="shared" si="12"/>
        <v>1995</v>
      </c>
      <c r="B92" s="5">
        <f t="shared" si="13"/>
        <v>37</v>
      </c>
      <c r="C92" s="2">
        <v>34957</v>
      </c>
      <c r="D92" s="1">
        <v>2655</v>
      </c>
      <c r="H92" s="5">
        <f t="shared" si="7"/>
        <v>33</v>
      </c>
      <c r="I92" s="5"/>
      <c r="J92" s="8">
        <f t="shared" ref="J92:AM92" si="39">J37/I37-1</f>
        <v>4.128660585693722E-2</v>
      </c>
      <c r="K92" s="8">
        <f t="shared" si="39"/>
        <v>0.1839557399723375</v>
      </c>
      <c r="L92" s="8">
        <f t="shared" si="39"/>
        <v>-4.166666666666663E-2</v>
      </c>
      <c r="M92" s="8">
        <f t="shared" si="39"/>
        <v>-0.15481511580658269</v>
      </c>
      <c r="N92" s="8">
        <f t="shared" si="39"/>
        <v>0.16634615384615392</v>
      </c>
      <c r="O92" s="8">
        <f t="shared" si="39"/>
        <v>9.5218466611706409E-2</v>
      </c>
      <c r="P92" s="8">
        <f t="shared" si="39"/>
        <v>-0.13473842679713965</v>
      </c>
      <c r="Q92" s="8">
        <f t="shared" si="39"/>
        <v>0.1004784688995215</v>
      </c>
      <c r="R92" s="8">
        <f t="shared" si="39"/>
        <v>-5.9288537549406772E-3</v>
      </c>
      <c r="S92" s="8">
        <f t="shared" si="39"/>
        <v>0.13598409542743539</v>
      </c>
      <c r="T92" s="8">
        <f t="shared" si="39"/>
        <v>2.415120756037803E-2</v>
      </c>
      <c r="U92" s="8">
        <f t="shared" si="39"/>
        <v>-9.2617908407382044E-2</v>
      </c>
      <c r="V92" s="8">
        <f t="shared" si="39"/>
        <v>0.20677966101694922</v>
      </c>
      <c r="W92" s="8">
        <f t="shared" si="39"/>
        <v>-5.961298377028712E-2</v>
      </c>
      <c r="X92" s="8">
        <f t="shared" si="39"/>
        <v>-5.9741121805509501E-2</v>
      </c>
      <c r="Y92" s="8">
        <f t="shared" si="39"/>
        <v>0.16766678432756787</v>
      </c>
      <c r="Z92" s="8">
        <f t="shared" si="39"/>
        <v>-7.4062877871825861E-2</v>
      </c>
      <c r="AA92" s="8">
        <f t="shared" si="39"/>
        <v>-0.16585047339209924</v>
      </c>
      <c r="AB92" s="8">
        <f t="shared" si="39"/>
        <v>0.18473581213307244</v>
      </c>
      <c r="AC92" s="8">
        <f t="shared" si="39"/>
        <v>0.10307234886025762</v>
      </c>
      <c r="AD92" s="8">
        <f t="shared" si="39"/>
        <v>-6.4091045223120702E-2</v>
      </c>
      <c r="AE92" s="8">
        <f t="shared" si="39"/>
        <v>-0.2208</v>
      </c>
      <c r="AF92" s="8">
        <f t="shared" si="39"/>
        <v>0.14866529774127302</v>
      </c>
      <c r="AG92" s="8">
        <f t="shared" si="39"/>
        <v>0.206649982123704</v>
      </c>
      <c r="AH92" s="8">
        <f t="shared" si="39"/>
        <v>-0.1638518518518518</v>
      </c>
      <c r="AI92" s="8">
        <f t="shared" si="39"/>
        <v>-0.10737065910701626</v>
      </c>
      <c r="AJ92" s="8">
        <f t="shared" si="39"/>
        <v>0.22389837236998811</v>
      </c>
      <c r="AK92" s="8">
        <f t="shared" si="39"/>
        <v>7.0061628284138866E-2</v>
      </c>
      <c r="AL92" s="8">
        <f t="shared" si="39"/>
        <v>-3.0312215822976607E-2</v>
      </c>
      <c r="AM92" s="8">
        <f t="shared" si="39"/>
        <v>-9.377930603313489E-3</v>
      </c>
    </row>
    <row r="93" spans="1:39" x14ac:dyDescent="0.25">
      <c r="A93" s="5">
        <f t="shared" si="12"/>
        <v>1995</v>
      </c>
      <c r="B93" s="5">
        <f t="shared" si="13"/>
        <v>38</v>
      </c>
      <c r="C93" s="2">
        <v>34964</v>
      </c>
      <c r="D93" s="1">
        <v>2727</v>
      </c>
      <c r="H93" s="5">
        <f t="shared" si="7"/>
        <v>34</v>
      </c>
      <c r="I93" s="5"/>
      <c r="J93" s="8">
        <f t="shared" ref="J93:AM93" si="40">J38/I38-1</f>
        <v>4.0074557315936676E-2</v>
      </c>
      <c r="K93" s="8">
        <f t="shared" si="40"/>
        <v>0.18010752688172049</v>
      </c>
      <c r="L93" s="8">
        <f t="shared" si="40"/>
        <v>-4.783599088838264E-2</v>
      </c>
      <c r="M93" s="8">
        <f t="shared" si="40"/>
        <v>-0.15191387559808611</v>
      </c>
      <c r="N93" s="8">
        <f t="shared" si="40"/>
        <v>0.17536436295251523</v>
      </c>
      <c r="O93" s="8">
        <f t="shared" si="40"/>
        <v>8.6400000000000032E-2</v>
      </c>
      <c r="P93" s="8">
        <f t="shared" si="40"/>
        <v>-0.134020618556701</v>
      </c>
      <c r="Q93" s="8">
        <f t="shared" si="40"/>
        <v>0.11139455782312924</v>
      </c>
      <c r="R93" s="8">
        <f t="shared" si="40"/>
        <v>-1.4919663351185886E-2</v>
      </c>
      <c r="S93" s="8">
        <f t="shared" si="40"/>
        <v>0.12815533980582527</v>
      </c>
      <c r="T93" s="8">
        <f t="shared" si="40"/>
        <v>2.2030981067125754E-2</v>
      </c>
      <c r="U93" s="8">
        <f t="shared" si="40"/>
        <v>-7.1404513304142769E-2</v>
      </c>
      <c r="V93" s="8">
        <f t="shared" si="40"/>
        <v>0.18171926006528838</v>
      </c>
      <c r="W93" s="8">
        <f t="shared" si="40"/>
        <v>-6.2615101289134389E-2</v>
      </c>
      <c r="X93" s="8">
        <f t="shared" si="40"/>
        <v>-4.8461034708578876E-2</v>
      </c>
      <c r="Y93" s="8">
        <f t="shared" si="40"/>
        <v>0.16104611149346182</v>
      </c>
      <c r="Z93" s="8">
        <f t="shared" si="40"/>
        <v>-7.2021339656194394E-2</v>
      </c>
      <c r="AA93" s="8">
        <f t="shared" si="40"/>
        <v>-0.15969338869370808</v>
      </c>
      <c r="AB93" s="8">
        <f t="shared" si="40"/>
        <v>0.17597871531736975</v>
      </c>
      <c r="AC93" s="8">
        <f t="shared" si="40"/>
        <v>8.2740788623141492E-2</v>
      </c>
      <c r="AD93" s="8">
        <f t="shared" si="40"/>
        <v>-5.8208955223880587E-2</v>
      </c>
      <c r="AE93" s="8">
        <f t="shared" si="40"/>
        <v>-0.2063391442155309</v>
      </c>
      <c r="AF93" s="8">
        <f t="shared" si="40"/>
        <v>0.14097444089456879</v>
      </c>
      <c r="AG93" s="8">
        <f t="shared" si="40"/>
        <v>0.19705985299264972</v>
      </c>
      <c r="AH93" s="8">
        <f t="shared" si="40"/>
        <v>-0.16637426900584795</v>
      </c>
      <c r="AI93" s="8">
        <f t="shared" si="40"/>
        <v>-9.5405121010171845E-2</v>
      </c>
      <c r="AJ93" s="8">
        <f t="shared" si="40"/>
        <v>0.20783249321442421</v>
      </c>
      <c r="AK93" s="8">
        <f t="shared" si="40"/>
        <v>7.0304975922953483E-2</v>
      </c>
      <c r="AL93" s="8">
        <f t="shared" si="40"/>
        <v>-3.5092981403719303E-2</v>
      </c>
      <c r="AM93" s="8">
        <f t="shared" si="40"/>
        <v>-1.0258004351880623E-2</v>
      </c>
    </row>
    <row r="94" spans="1:39" x14ac:dyDescent="0.25">
      <c r="A94" s="5">
        <f t="shared" si="12"/>
        <v>1995</v>
      </c>
      <c r="B94" s="5">
        <f t="shared" si="13"/>
        <v>39</v>
      </c>
      <c r="C94" s="2">
        <v>34971</v>
      </c>
      <c r="D94" s="1">
        <v>2795</v>
      </c>
      <c r="H94" s="5">
        <f t="shared" si="7"/>
        <v>35</v>
      </c>
      <c r="I94" s="5"/>
      <c r="J94" s="8">
        <f t="shared" ref="J94:AM94" si="41">J39/I39-1</f>
        <v>3.584229390680993E-2</v>
      </c>
      <c r="K94" s="8">
        <f t="shared" si="41"/>
        <v>0.16133217993079585</v>
      </c>
      <c r="L94" s="8">
        <f t="shared" si="41"/>
        <v>-4.0968342644320255E-2</v>
      </c>
      <c r="M94" s="8">
        <f t="shared" si="41"/>
        <v>-0.15689320388349515</v>
      </c>
      <c r="N94" s="8">
        <f t="shared" si="41"/>
        <v>0.18654997696913855</v>
      </c>
      <c r="O94" s="8">
        <f t="shared" si="41"/>
        <v>7.9580745341614856E-2</v>
      </c>
      <c r="P94" s="8">
        <f t="shared" si="41"/>
        <v>-0.13016900395541176</v>
      </c>
      <c r="Q94" s="8">
        <f t="shared" si="41"/>
        <v>0.11409673418768085</v>
      </c>
      <c r="R94" s="8">
        <f t="shared" si="41"/>
        <v>-2.3005565862708743E-2</v>
      </c>
      <c r="S94" s="8">
        <f t="shared" si="41"/>
        <v>0.1302696543866313</v>
      </c>
      <c r="T94" s="8">
        <f t="shared" si="41"/>
        <v>9.7446236559139976E-3</v>
      </c>
      <c r="U94" s="8">
        <f t="shared" si="41"/>
        <v>-5.2579034941763747E-2</v>
      </c>
      <c r="V94" s="8">
        <f t="shared" si="41"/>
        <v>0.16719353705655071</v>
      </c>
      <c r="W94" s="8">
        <f t="shared" si="41"/>
        <v>-6.5603370448390042E-2</v>
      </c>
      <c r="X94" s="8">
        <f t="shared" si="41"/>
        <v>-4.6698872785829293E-2</v>
      </c>
      <c r="Y94" s="8">
        <f t="shared" si="41"/>
        <v>0.1493243243243243</v>
      </c>
      <c r="Z94" s="8">
        <f t="shared" si="41"/>
        <v>-6.2610229276895968E-2</v>
      </c>
      <c r="AA94" s="8">
        <f t="shared" si="41"/>
        <v>-0.15051740357478838</v>
      </c>
      <c r="AB94" s="8">
        <f t="shared" si="41"/>
        <v>0.17755629383536364</v>
      </c>
      <c r="AC94" s="8">
        <f t="shared" si="41"/>
        <v>6.6144200626959249E-2</v>
      </c>
      <c r="AD94" s="8">
        <f t="shared" si="41"/>
        <v>-5.3219641281975871E-2</v>
      </c>
      <c r="AE94" s="8">
        <f t="shared" si="41"/>
        <v>-0.20279503105590058</v>
      </c>
      <c r="AF94" s="8">
        <f t="shared" si="41"/>
        <v>0.14569536423841067</v>
      </c>
      <c r="AG94" s="8">
        <f t="shared" si="41"/>
        <v>0.17477048622917368</v>
      </c>
      <c r="AH94" s="8">
        <f t="shared" si="41"/>
        <v>-0.16903039073806081</v>
      </c>
      <c r="AI94" s="8">
        <f t="shared" si="41"/>
        <v>-8.0459770114942541E-2</v>
      </c>
      <c r="AJ94" s="8">
        <f t="shared" si="41"/>
        <v>0.19242424242424239</v>
      </c>
      <c r="AK94" s="8">
        <f t="shared" si="41"/>
        <v>6.321473951715384E-2</v>
      </c>
      <c r="AL94" s="8">
        <f t="shared" si="41"/>
        <v>-2.5395876904690806E-2</v>
      </c>
      <c r="AM94" s="8">
        <f t="shared" si="41"/>
        <v>-1.4714898835070489E-2</v>
      </c>
    </row>
    <row r="95" spans="1:39" x14ac:dyDescent="0.25">
      <c r="A95" s="5">
        <f t="shared" si="12"/>
        <v>1995</v>
      </c>
      <c r="B95" s="5">
        <f t="shared" si="13"/>
        <v>40</v>
      </c>
      <c r="C95" s="2">
        <v>34978</v>
      </c>
      <c r="D95" s="1">
        <v>2836</v>
      </c>
      <c r="H95" s="5">
        <f t="shared" si="7"/>
        <v>36</v>
      </c>
      <c r="I95" s="5"/>
      <c r="J95" s="8">
        <f t="shared" ref="J95:AM95" si="42">J40/I40-1</f>
        <v>3.2674118658641449E-2</v>
      </c>
      <c r="K95" s="8">
        <f t="shared" si="42"/>
        <v>0.13280599500416312</v>
      </c>
      <c r="L95" s="8">
        <f t="shared" si="42"/>
        <v>-3.0503491363469304E-2</v>
      </c>
      <c r="M95" s="8">
        <f t="shared" si="42"/>
        <v>-0.16413949962092489</v>
      </c>
      <c r="N95" s="8">
        <f t="shared" si="42"/>
        <v>0.21224489795918378</v>
      </c>
      <c r="O95" s="8">
        <f t="shared" si="42"/>
        <v>6.8088290310512445E-2</v>
      </c>
      <c r="P95" s="8">
        <f t="shared" si="42"/>
        <v>-0.11803852889667255</v>
      </c>
      <c r="Q95" s="8">
        <f t="shared" si="42"/>
        <v>0.10206513105639403</v>
      </c>
      <c r="R95" s="8">
        <f t="shared" si="42"/>
        <v>-3.8198198198198252E-2</v>
      </c>
      <c r="S95" s="8">
        <f t="shared" si="42"/>
        <v>0.15548894717122508</v>
      </c>
      <c r="T95" s="8">
        <f t="shared" si="42"/>
        <v>-4.8638132295719672E-3</v>
      </c>
      <c r="U95" s="8">
        <f t="shared" si="42"/>
        <v>-5.3437601824698588E-2</v>
      </c>
      <c r="V95" s="8">
        <f t="shared" si="42"/>
        <v>0.16764199655765921</v>
      </c>
      <c r="W95" s="8">
        <f t="shared" si="42"/>
        <v>-6.7511792452830233E-2</v>
      </c>
      <c r="X95" s="8">
        <f t="shared" si="42"/>
        <v>-4.3629465697123004E-2</v>
      </c>
      <c r="Y95" s="8">
        <f t="shared" si="42"/>
        <v>0.13355371900826452</v>
      </c>
      <c r="Z95" s="8">
        <f t="shared" si="42"/>
        <v>-5.1326917468649702E-2</v>
      </c>
      <c r="AA95" s="8">
        <f t="shared" si="42"/>
        <v>-0.13894866277282514</v>
      </c>
      <c r="AB95" s="8">
        <f t="shared" si="42"/>
        <v>0.16458407711531597</v>
      </c>
      <c r="AC95" s="8">
        <f t="shared" si="42"/>
        <v>5.3648068669527982E-2</v>
      </c>
      <c r="AD95" s="8">
        <f t="shared" si="42"/>
        <v>-3.6659877800407359E-2</v>
      </c>
      <c r="AE95" s="8">
        <f t="shared" si="42"/>
        <v>-0.20386590154032014</v>
      </c>
      <c r="AF95" s="8">
        <f t="shared" si="42"/>
        <v>0.14529590288315619</v>
      </c>
      <c r="AG95" s="8">
        <f t="shared" si="42"/>
        <v>0.16760516727393182</v>
      </c>
      <c r="AH95" s="8">
        <f t="shared" si="42"/>
        <v>-0.17078014184397161</v>
      </c>
      <c r="AI95" s="8">
        <f t="shared" si="42"/>
        <v>-7.834416695176194E-2</v>
      </c>
      <c r="AJ95" s="8">
        <f t="shared" si="42"/>
        <v>0.18968077208611733</v>
      </c>
      <c r="AK95" s="8">
        <f t="shared" si="42"/>
        <v>5.6786271450858017E-2</v>
      </c>
      <c r="AL95" s="8">
        <f t="shared" si="42"/>
        <v>-1.5943312666076181E-2</v>
      </c>
      <c r="AM95" s="8">
        <f t="shared" si="42"/>
        <v>-2.3702370237023707E-2</v>
      </c>
    </row>
    <row r="96" spans="1:39" x14ac:dyDescent="0.25">
      <c r="A96" s="5">
        <f t="shared" si="12"/>
        <v>1995</v>
      </c>
      <c r="B96" s="5">
        <f t="shared" si="13"/>
        <v>41</v>
      </c>
      <c r="C96" s="2">
        <v>34985</v>
      </c>
      <c r="D96" s="1">
        <v>2905</v>
      </c>
      <c r="H96" s="5">
        <f t="shared" si="7"/>
        <v>37</v>
      </c>
      <c r="I96" s="5"/>
      <c r="J96" s="8">
        <f t="shared" ref="J96:AM96" si="43">J41/I41-1</f>
        <v>3.2418952618453956E-2</v>
      </c>
      <c r="K96" s="8">
        <f t="shared" si="43"/>
        <v>0.1252012882447664</v>
      </c>
      <c r="L96" s="8">
        <f t="shared" si="43"/>
        <v>-2.7549194991055459E-2</v>
      </c>
      <c r="M96" s="8">
        <f t="shared" si="43"/>
        <v>-0.16335540838852092</v>
      </c>
      <c r="N96" s="8">
        <f t="shared" si="43"/>
        <v>0.21547933157431842</v>
      </c>
      <c r="O96" s="8">
        <f t="shared" si="43"/>
        <v>5.7887120115774238E-2</v>
      </c>
      <c r="P96" s="8">
        <f t="shared" si="43"/>
        <v>-0.1043091655266758</v>
      </c>
      <c r="Q96" s="8">
        <f t="shared" si="43"/>
        <v>9.7365406643757257E-2</v>
      </c>
      <c r="R96" s="8">
        <f t="shared" si="43"/>
        <v>-4.0361864996520502E-2</v>
      </c>
      <c r="S96" s="8">
        <f t="shared" si="43"/>
        <v>0.15192168237853521</v>
      </c>
      <c r="T96" s="8">
        <f t="shared" si="43"/>
        <v>-1.4164305949008527E-2</v>
      </c>
      <c r="U96" s="8">
        <f t="shared" si="43"/>
        <v>-5.1085568326947661E-2</v>
      </c>
      <c r="V96" s="8">
        <f t="shared" si="43"/>
        <v>0.16352624495289358</v>
      </c>
      <c r="W96" s="8">
        <f t="shared" si="43"/>
        <v>-5.5234239444765798E-2</v>
      </c>
      <c r="X96" s="8">
        <f t="shared" si="43"/>
        <v>-4.8056320783593565E-2</v>
      </c>
      <c r="Y96" s="8">
        <f t="shared" si="43"/>
        <v>0.12411575562700961</v>
      </c>
      <c r="Z96" s="8">
        <f t="shared" si="43"/>
        <v>-5.6350114416475972E-2</v>
      </c>
      <c r="AA96" s="8">
        <f t="shared" si="43"/>
        <v>-0.12397696271597458</v>
      </c>
      <c r="AB96" s="8">
        <f t="shared" si="43"/>
        <v>0.15432525951557086</v>
      </c>
      <c r="AC96" s="8">
        <f t="shared" si="43"/>
        <v>4.8860911270983243E-2</v>
      </c>
      <c r="AD96" s="8">
        <f t="shared" si="43"/>
        <v>-2.600743069448419E-2</v>
      </c>
      <c r="AE96" s="8">
        <f t="shared" si="43"/>
        <v>-0.20129107981220662</v>
      </c>
      <c r="AF96" s="8">
        <f t="shared" si="43"/>
        <v>0.13997060984570164</v>
      </c>
      <c r="AG96" s="8">
        <f t="shared" si="43"/>
        <v>0.1646793425717048</v>
      </c>
      <c r="AH96" s="8">
        <f t="shared" si="43"/>
        <v>-0.16823464305478697</v>
      </c>
      <c r="AI96" s="8">
        <f t="shared" si="43"/>
        <v>-7.8176979374584121E-2</v>
      </c>
      <c r="AJ96" s="8">
        <f t="shared" si="43"/>
        <v>0.17971851317213994</v>
      </c>
      <c r="AK96" s="8">
        <f t="shared" si="43"/>
        <v>5.3839094524319453E-2</v>
      </c>
      <c r="AL96" s="8">
        <f t="shared" si="43"/>
        <v>-6.3860667634252355E-3</v>
      </c>
      <c r="AM96" s="8">
        <f t="shared" si="43"/>
        <v>-3.6517674554484403E-2</v>
      </c>
    </row>
    <row r="97" spans="1:39" x14ac:dyDescent="0.25">
      <c r="A97" s="5">
        <f t="shared" si="12"/>
        <v>1995</v>
      </c>
      <c r="B97" s="5">
        <f t="shared" si="13"/>
        <v>42</v>
      </c>
      <c r="C97" s="2">
        <v>34992</v>
      </c>
      <c r="D97" s="1">
        <v>2955</v>
      </c>
      <c r="H97" s="5">
        <f t="shared" si="7"/>
        <v>38</v>
      </c>
      <c r="I97" s="5"/>
      <c r="J97" s="8">
        <f t="shared" ref="J97:AM97" si="44">J42/I42-1</f>
        <v>2.3694779116465892E-2</v>
      </c>
      <c r="K97" s="8">
        <f t="shared" si="44"/>
        <v>0.11808552373479797</v>
      </c>
      <c r="L97" s="8">
        <f t="shared" si="44"/>
        <v>-1.9649122807017583E-2</v>
      </c>
      <c r="M97" s="8">
        <f t="shared" si="44"/>
        <v>-0.16320687186828919</v>
      </c>
      <c r="N97" s="8">
        <f t="shared" si="44"/>
        <v>0.2219846022241232</v>
      </c>
      <c r="O97" s="8">
        <f t="shared" si="44"/>
        <v>4.655232761638084E-2</v>
      </c>
      <c r="P97" s="8">
        <f t="shared" si="44"/>
        <v>-9.0635451505016729E-2</v>
      </c>
      <c r="Q97" s="8">
        <f t="shared" si="44"/>
        <v>8.2015446855461471E-2</v>
      </c>
      <c r="R97" s="8">
        <f t="shared" si="44"/>
        <v>-3.7389530931339232E-2</v>
      </c>
      <c r="S97" s="8">
        <f t="shared" si="44"/>
        <v>0.14901129943502833</v>
      </c>
      <c r="T97" s="8">
        <f t="shared" si="44"/>
        <v>-1.4751075599262475E-2</v>
      </c>
      <c r="U97" s="8">
        <f t="shared" si="44"/>
        <v>-5.7080474111041779E-2</v>
      </c>
      <c r="V97" s="8">
        <f t="shared" si="44"/>
        <v>0.16606020509427721</v>
      </c>
      <c r="W97" s="8">
        <f t="shared" si="44"/>
        <v>-5.2198581560283674E-2</v>
      </c>
      <c r="X97" s="8">
        <f t="shared" si="44"/>
        <v>-4.1903621670158597E-2</v>
      </c>
      <c r="Y97" s="8">
        <f t="shared" si="44"/>
        <v>0.11715089034676662</v>
      </c>
      <c r="Z97" s="8">
        <f t="shared" si="44"/>
        <v>-5.3411633109619716E-2</v>
      </c>
      <c r="AA97" s="8">
        <f t="shared" si="44"/>
        <v>-0.11728212703101926</v>
      </c>
      <c r="AB97" s="8">
        <f t="shared" si="44"/>
        <v>0.15160642570281135</v>
      </c>
      <c r="AC97" s="8">
        <f t="shared" si="44"/>
        <v>3.1967451322290064E-2</v>
      </c>
      <c r="AD97" s="8">
        <f t="shared" si="44"/>
        <v>-2.393691917769647E-2</v>
      </c>
      <c r="AE97" s="8">
        <f t="shared" si="44"/>
        <v>-0.20138488170802082</v>
      </c>
      <c r="AF97" s="8">
        <f t="shared" si="44"/>
        <v>0.15787572254335269</v>
      </c>
      <c r="AG97" s="8">
        <f t="shared" si="44"/>
        <v>0.14820592823712953</v>
      </c>
      <c r="AH97" s="8">
        <f t="shared" si="44"/>
        <v>-0.16249999999999998</v>
      </c>
      <c r="AI97" s="8">
        <f t="shared" si="44"/>
        <v>-6.7488643737832588E-2</v>
      </c>
      <c r="AJ97" s="8">
        <f t="shared" si="44"/>
        <v>0.16875434933890054</v>
      </c>
      <c r="AK97" s="8">
        <f t="shared" si="44"/>
        <v>3.9892825245608776E-2</v>
      </c>
      <c r="AL97" s="8">
        <f t="shared" si="44"/>
        <v>1.7177211565988504E-3</v>
      </c>
      <c r="AM97" s="8">
        <f t="shared" si="44"/>
        <v>-4.229779937124889E-2</v>
      </c>
    </row>
    <row r="98" spans="1:39" x14ac:dyDescent="0.25">
      <c r="A98" s="5">
        <f t="shared" si="12"/>
        <v>1995</v>
      </c>
      <c r="B98" s="5">
        <f t="shared" si="13"/>
        <v>43</v>
      </c>
      <c r="C98" s="2">
        <v>34999</v>
      </c>
      <c r="D98" s="1">
        <v>2987</v>
      </c>
      <c r="H98" s="5">
        <f t="shared" si="7"/>
        <v>39</v>
      </c>
      <c r="I98" s="5"/>
      <c r="J98" s="8">
        <f t="shared" ref="J98:AM98" si="45">J43/I43-1</f>
        <v>2.3364485981308469E-2</v>
      </c>
      <c r="K98" s="8">
        <f t="shared" si="45"/>
        <v>0.10197869101978685</v>
      </c>
      <c r="L98" s="8">
        <f t="shared" si="45"/>
        <v>-8.6325966850828717E-3</v>
      </c>
      <c r="M98" s="8">
        <f t="shared" si="45"/>
        <v>-0.15987460815047017</v>
      </c>
      <c r="N98" s="8">
        <f t="shared" si="45"/>
        <v>0.21268656716417911</v>
      </c>
      <c r="O98" s="8">
        <f t="shared" si="45"/>
        <v>3.863247863247854E-2</v>
      </c>
      <c r="P98" s="8">
        <f t="shared" si="45"/>
        <v>-7.1757735352205421E-2</v>
      </c>
      <c r="Q98" s="8">
        <f t="shared" si="45"/>
        <v>6.7730496453900724E-2</v>
      </c>
      <c r="R98" s="8">
        <f t="shared" si="45"/>
        <v>-4.1846562603786164E-2</v>
      </c>
      <c r="S98" s="8">
        <f t="shared" si="45"/>
        <v>0.15320623916811082</v>
      </c>
      <c r="T98" s="8">
        <f t="shared" si="45"/>
        <v>-1.9236549443943485E-2</v>
      </c>
      <c r="U98" s="8">
        <f t="shared" si="45"/>
        <v>-4.6889365614465217E-2</v>
      </c>
      <c r="V98" s="8">
        <f t="shared" si="45"/>
        <v>0.15401929260450165</v>
      </c>
      <c r="W98" s="8">
        <f t="shared" si="45"/>
        <v>-4.8481471161883505E-2</v>
      </c>
      <c r="X98" s="8">
        <f t="shared" si="45"/>
        <v>-3.0453879941434892E-2</v>
      </c>
      <c r="Y98" s="8">
        <f t="shared" si="45"/>
        <v>0.10359408033826645</v>
      </c>
      <c r="Z98" s="8">
        <f t="shared" si="45"/>
        <v>-4.5703338806787119E-2</v>
      </c>
      <c r="AA98" s="8">
        <f t="shared" si="45"/>
        <v>-0.11127043303699458</v>
      </c>
      <c r="AB98" s="8">
        <f t="shared" si="45"/>
        <v>0.14133591481122942</v>
      </c>
      <c r="AC98" s="8">
        <f t="shared" si="45"/>
        <v>1.7811704834605591E-2</v>
      </c>
      <c r="AD98" s="8">
        <f t="shared" si="45"/>
        <v>-2.5555555555555554E-2</v>
      </c>
      <c r="AE98" s="8">
        <f t="shared" si="45"/>
        <v>-0.18301026225769668</v>
      </c>
      <c r="AF98" s="8">
        <f t="shared" si="45"/>
        <v>0.15736217725052337</v>
      </c>
      <c r="AG98" s="8">
        <f t="shared" si="45"/>
        <v>0.13234850768766959</v>
      </c>
      <c r="AH98" s="8">
        <f t="shared" si="45"/>
        <v>-0.15601703940362088</v>
      </c>
      <c r="AI98" s="8">
        <f t="shared" si="45"/>
        <v>-6.0883280757097813E-2</v>
      </c>
      <c r="AJ98" s="8">
        <f t="shared" si="45"/>
        <v>0.15720524017467241</v>
      </c>
      <c r="AK98" s="8">
        <f t="shared" si="45"/>
        <v>2.9898403483309188E-2</v>
      </c>
      <c r="AL98" s="8">
        <f t="shared" si="45"/>
        <v>8.4554678692216889E-4</v>
      </c>
      <c r="AM98" s="8">
        <f t="shared" si="45"/>
        <v>-3.8299070684314263E-2</v>
      </c>
    </row>
    <row r="99" spans="1:39" x14ac:dyDescent="0.25">
      <c r="A99" s="5">
        <f t="shared" si="12"/>
        <v>1995</v>
      </c>
      <c r="B99" s="5">
        <f t="shared" si="13"/>
        <v>44</v>
      </c>
      <c r="C99" s="2">
        <v>35006</v>
      </c>
      <c r="D99" s="1">
        <v>3000</v>
      </c>
      <c r="H99" s="5">
        <f t="shared" si="7"/>
        <v>40</v>
      </c>
      <c r="I99" s="5"/>
      <c r="J99" s="8">
        <f t="shared" ref="J99:AM99" si="46">J44/I44-1</f>
        <v>1.9556224144415157E-2</v>
      </c>
      <c r="K99" s="8">
        <f t="shared" si="46"/>
        <v>8.5577277757285186E-2</v>
      </c>
      <c r="L99" s="8">
        <f t="shared" si="46"/>
        <v>-3.397893306150146E-3</v>
      </c>
      <c r="M99" s="8">
        <f t="shared" si="46"/>
        <v>-0.15240368223661782</v>
      </c>
      <c r="N99" s="8">
        <f t="shared" si="46"/>
        <v>0.20595333869670163</v>
      </c>
      <c r="O99" s="8">
        <f t="shared" si="46"/>
        <v>2.7351567711807911E-2</v>
      </c>
      <c r="P99" s="8">
        <f t="shared" si="46"/>
        <v>-5.7142857142857162E-2</v>
      </c>
      <c r="Q99" s="8">
        <f t="shared" si="46"/>
        <v>6.4738292011019327E-2</v>
      </c>
      <c r="R99" s="8">
        <f t="shared" si="46"/>
        <v>-5.2716688227684383E-2</v>
      </c>
      <c r="S99" s="8">
        <f t="shared" si="46"/>
        <v>0.15705018777739843</v>
      </c>
      <c r="T99" s="8">
        <f t="shared" si="46"/>
        <v>-1.5638831513720808E-2</v>
      </c>
      <c r="U99" s="8">
        <f t="shared" si="46"/>
        <v>-4.1366906474820109E-2</v>
      </c>
      <c r="V99" s="8">
        <f t="shared" si="46"/>
        <v>0.14383989993746082</v>
      </c>
      <c r="W99" s="8">
        <f t="shared" si="46"/>
        <v>-4.3466375068343388E-2</v>
      </c>
      <c r="X99" s="8">
        <f t="shared" si="46"/>
        <v>-2.600743069448419E-2</v>
      </c>
      <c r="Y99" s="8">
        <f t="shared" si="46"/>
        <v>9.3309859154929509E-2</v>
      </c>
      <c r="Z99" s="8">
        <f t="shared" si="46"/>
        <v>-3.9989264626945742E-2</v>
      </c>
      <c r="AA99" s="8">
        <f t="shared" si="46"/>
        <v>-0.10399776348895717</v>
      </c>
      <c r="AB99" s="8">
        <f t="shared" si="46"/>
        <v>0.13385335413416533</v>
      </c>
      <c r="AC99" s="8">
        <f t="shared" si="46"/>
        <v>1.2658227848101333E-2</v>
      </c>
      <c r="AD99" s="8">
        <f t="shared" si="46"/>
        <v>-2.3097826086956541E-2</v>
      </c>
      <c r="AE99" s="8">
        <f t="shared" si="46"/>
        <v>-0.17774687065368566</v>
      </c>
      <c r="AF99" s="8">
        <f t="shared" si="46"/>
        <v>0.15527740189445205</v>
      </c>
      <c r="AG99" s="8">
        <f t="shared" si="46"/>
        <v>0.12181551976573934</v>
      </c>
      <c r="AH99" s="8">
        <f t="shared" si="46"/>
        <v>-0.14173844949099457</v>
      </c>
      <c r="AI99" s="8">
        <f t="shared" si="46"/>
        <v>-5.5352798053527996E-2</v>
      </c>
      <c r="AJ99" s="8">
        <f t="shared" si="46"/>
        <v>0.13618802318094003</v>
      </c>
      <c r="AK99" s="8">
        <f t="shared" si="46"/>
        <v>2.8620005667327808E-2</v>
      </c>
      <c r="AL99" s="8">
        <f t="shared" si="46"/>
        <v>2.7548209366390353E-4</v>
      </c>
      <c r="AM99" s="8"/>
    </row>
    <row r="100" spans="1:39" x14ac:dyDescent="0.25">
      <c r="A100" s="5">
        <f t="shared" si="12"/>
        <v>1995</v>
      </c>
      <c r="B100" s="5">
        <f t="shared" si="13"/>
        <v>45</v>
      </c>
      <c r="C100" s="2">
        <v>35013</v>
      </c>
      <c r="D100" s="1">
        <v>2918</v>
      </c>
      <c r="H100" s="5">
        <f t="shared" si="7"/>
        <v>41</v>
      </c>
      <c r="I100" s="5"/>
      <c r="J100" s="8">
        <f t="shared" ref="J100:AM100" si="47">J45/I45-1</f>
        <v>3.5224323322209816E-2</v>
      </c>
      <c r="K100" s="8">
        <f t="shared" si="47"/>
        <v>7.414040114613174E-2</v>
      </c>
      <c r="L100" s="8">
        <f t="shared" si="47"/>
        <v>-3.3344448149382755E-3</v>
      </c>
      <c r="M100" s="8">
        <f t="shared" si="47"/>
        <v>-0.14787554366008704</v>
      </c>
      <c r="N100" s="8">
        <f t="shared" si="47"/>
        <v>0.204554377699254</v>
      </c>
      <c r="O100" s="8">
        <f t="shared" si="47"/>
        <v>1.9556714471968606E-2</v>
      </c>
      <c r="P100" s="8">
        <f t="shared" si="47"/>
        <v>-4.6994884910485979E-2</v>
      </c>
      <c r="Q100" s="8">
        <f t="shared" si="47"/>
        <v>5.971150620597121E-2</v>
      </c>
      <c r="R100" s="8">
        <f t="shared" si="47"/>
        <v>-5.4447610003165559E-2</v>
      </c>
      <c r="S100" s="8">
        <f t="shared" si="47"/>
        <v>0.15232674924673595</v>
      </c>
      <c r="T100" s="8">
        <f t="shared" si="47"/>
        <v>-1.9465427077280606E-2</v>
      </c>
      <c r="U100" s="8">
        <f t="shared" si="47"/>
        <v>-2.9037037037037083E-2</v>
      </c>
      <c r="V100" s="8">
        <f t="shared" si="47"/>
        <v>0.13396399145559967</v>
      </c>
      <c r="W100" s="8">
        <f t="shared" si="47"/>
        <v>-3.3907427341227092E-2</v>
      </c>
      <c r="X100" s="8">
        <f t="shared" si="47"/>
        <v>-1.9220055710306383E-2</v>
      </c>
      <c r="Y100" s="8">
        <f t="shared" si="47"/>
        <v>7.2422607213859624E-2</v>
      </c>
      <c r="Z100" s="8">
        <f t="shared" si="47"/>
        <v>-3.2044491525423768E-2</v>
      </c>
      <c r="AA100" s="8">
        <f t="shared" si="47"/>
        <v>-9.7674418604651203E-2</v>
      </c>
      <c r="AB100" s="8">
        <f t="shared" si="47"/>
        <v>0.13129169193450574</v>
      </c>
      <c r="AC100" s="8">
        <f t="shared" si="47"/>
        <v>7.5046904315196894E-3</v>
      </c>
      <c r="AD100" s="8">
        <f t="shared" si="47"/>
        <v>-3.0327214684756632E-2</v>
      </c>
      <c r="AE100" s="8">
        <f t="shared" si="47"/>
        <v>-0.166803840877915</v>
      </c>
      <c r="AF100" s="8">
        <f t="shared" si="47"/>
        <v>0.1587092525518603</v>
      </c>
      <c r="AG100" s="8">
        <f t="shared" si="47"/>
        <v>0.10173344700198927</v>
      </c>
      <c r="AH100" s="8">
        <f t="shared" si="47"/>
        <v>-0.13102914624709827</v>
      </c>
      <c r="AI100" s="8">
        <f t="shared" si="47"/>
        <v>-4.0961709706144211E-2</v>
      </c>
      <c r="AJ100" s="8">
        <f t="shared" si="47"/>
        <v>0.12225317239244826</v>
      </c>
      <c r="AK100" s="8">
        <f t="shared" si="47"/>
        <v>2.2062879205736241E-2</v>
      </c>
      <c r="AL100" s="8">
        <f t="shared" si="47"/>
        <v>1.6189962223420729E-3</v>
      </c>
      <c r="AM100" s="8"/>
    </row>
    <row r="101" spans="1:39" x14ac:dyDescent="0.25">
      <c r="A101" s="5">
        <f t="shared" si="12"/>
        <v>1995</v>
      </c>
      <c r="B101" s="5">
        <f t="shared" si="13"/>
        <v>46</v>
      </c>
      <c r="C101" s="2">
        <v>35020</v>
      </c>
      <c r="D101" s="1">
        <v>2846</v>
      </c>
      <c r="H101" s="5">
        <f t="shared" si="7"/>
        <v>42</v>
      </c>
      <c r="I101" s="5"/>
      <c r="J101" s="8">
        <f t="shared" ref="J101:AM101" si="48">J46/I46-1</f>
        <v>3.7386569872958297E-2</v>
      </c>
      <c r="K101" s="8">
        <f t="shared" si="48"/>
        <v>7.4877536738978234E-2</v>
      </c>
      <c r="L101" s="8">
        <f t="shared" si="48"/>
        <v>-1.106770833333337E-2</v>
      </c>
      <c r="M101" s="8">
        <f t="shared" si="48"/>
        <v>-0.15273206056616195</v>
      </c>
      <c r="N101" s="8">
        <f t="shared" si="48"/>
        <v>0.20435120435120435</v>
      </c>
      <c r="O101" s="8">
        <f t="shared" si="48"/>
        <v>1.9677419354838799E-2</v>
      </c>
      <c r="P101" s="8">
        <f t="shared" si="48"/>
        <v>-3.0053780449224909E-2</v>
      </c>
      <c r="Q101" s="8">
        <f t="shared" si="48"/>
        <v>5.1206784083496437E-2</v>
      </c>
      <c r="R101" s="8">
        <f t="shared" si="48"/>
        <v>-4.9953459509773479E-2</v>
      </c>
      <c r="S101" s="8">
        <f t="shared" si="48"/>
        <v>0.13030698889614634</v>
      </c>
      <c r="T101" s="8">
        <f t="shared" si="48"/>
        <v>-5.2008090147356301E-3</v>
      </c>
      <c r="U101" s="8">
        <f t="shared" si="48"/>
        <v>-2.7882660470519904E-2</v>
      </c>
      <c r="V101" s="8">
        <f t="shared" si="48"/>
        <v>0.11562593367194496</v>
      </c>
      <c r="W101" s="8">
        <f t="shared" si="48"/>
        <v>-1.3658275307980694E-2</v>
      </c>
      <c r="X101" s="8">
        <f t="shared" si="48"/>
        <v>-1.6019549280477885E-2</v>
      </c>
      <c r="Y101" s="8">
        <f t="shared" si="48"/>
        <v>6.0430463576158999E-2</v>
      </c>
      <c r="Z101" s="8">
        <f t="shared" si="48"/>
        <v>-2.6541764246682309E-2</v>
      </c>
      <c r="AA101" s="8">
        <f t="shared" si="48"/>
        <v>-9.3023255813953543E-2</v>
      </c>
      <c r="AB101" s="8">
        <f t="shared" si="48"/>
        <v>0.12378426171529622</v>
      </c>
      <c r="AC101" s="8">
        <f t="shared" si="48"/>
        <v>6.0319958038290711E-3</v>
      </c>
      <c r="AD101" s="8">
        <f t="shared" si="48"/>
        <v>-3.2846715328467169E-2</v>
      </c>
      <c r="AE101" s="8">
        <f t="shared" si="48"/>
        <v>-0.16576819407008081</v>
      </c>
      <c r="AF101" s="8">
        <f t="shared" si="48"/>
        <v>0.16510500807754447</v>
      </c>
      <c r="AG101" s="8">
        <f t="shared" si="48"/>
        <v>8.8740987243483005E-2</v>
      </c>
      <c r="AH101" s="8">
        <f t="shared" si="48"/>
        <v>-0.11844116148751915</v>
      </c>
      <c r="AI101" s="8">
        <f t="shared" si="48"/>
        <v>-3.4383126264085573E-2</v>
      </c>
      <c r="AJ101" s="8">
        <f t="shared" si="48"/>
        <v>0.1071214841412329</v>
      </c>
      <c r="AK101" s="8">
        <f t="shared" si="48"/>
        <v>2.2972972972973071E-2</v>
      </c>
      <c r="AL101" s="8">
        <f t="shared" si="48"/>
        <v>3.434610303830965E-3</v>
      </c>
      <c r="AM101" s="8"/>
    </row>
    <row r="102" spans="1:39" x14ac:dyDescent="0.25">
      <c r="A102" s="5">
        <f t="shared" si="12"/>
        <v>1995</v>
      </c>
      <c r="B102" s="5">
        <f t="shared" si="13"/>
        <v>47</v>
      </c>
      <c r="C102" s="2">
        <v>35027</v>
      </c>
      <c r="D102" s="1">
        <v>2788</v>
      </c>
      <c r="H102" s="5">
        <f t="shared" si="7"/>
        <v>43</v>
      </c>
      <c r="I102" s="5"/>
      <c r="J102" s="8">
        <f t="shared" ref="J102:AM102" si="49">J47/I47-1</f>
        <v>3.6226685796269642E-2</v>
      </c>
      <c r="K102" s="8">
        <f t="shared" si="49"/>
        <v>8.0304603669089758E-2</v>
      </c>
      <c r="L102" s="8">
        <f t="shared" si="49"/>
        <v>-2.0185837872476742E-2</v>
      </c>
      <c r="M102" s="8">
        <f t="shared" si="49"/>
        <v>-0.13538260300850224</v>
      </c>
      <c r="N102" s="8">
        <f t="shared" si="49"/>
        <v>0.18456883509833588</v>
      </c>
      <c r="O102" s="8">
        <f t="shared" si="49"/>
        <v>1.2771392081736943E-2</v>
      </c>
      <c r="P102" s="8">
        <f t="shared" si="49"/>
        <v>-1.607818411097095E-2</v>
      </c>
      <c r="Q102" s="8">
        <f t="shared" si="49"/>
        <v>4.1012495994873444E-2</v>
      </c>
      <c r="R102" s="8">
        <f t="shared" si="49"/>
        <v>-3.3856571252693146E-2</v>
      </c>
      <c r="S102" s="8">
        <f t="shared" si="49"/>
        <v>9.9713284485504872E-2</v>
      </c>
      <c r="T102" s="8">
        <f t="shared" si="49"/>
        <v>1.65121668597914E-2</v>
      </c>
      <c r="U102" s="8">
        <f t="shared" si="49"/>
        <v>-3.3057851239669422E-2</v>
      </c>
      <c r="V102" s="8">
        <f t="shared" si="49"/>
        <v>0.10786914235190093</v>
      </c>
      <c r="W102" s="8">
        <f t="shared" si="49"/>
        <v>-1.330140994945439E-3</v>
      </c>
      <c r="X102" s="8">
        <f t="shared" si="49"/>
        <v>-9.8561534363346137E-3</v>
      </c>
      <c r="Y102" s="8">
        <f t="shared" si="49"/>
        <v>5.1116491794457986E-2</v>
      </c>
      <c r="Z102" s="8">
        <f t="shared" si="49"/>
        <v>-3.2761709751727652E-2</v>
      </c>
      <c r="AA102" s="8">
        <f t="shared" si="49"/>
        <v>-7.9121460703889923E-2</v>
      </c>
      <c r="AB102" s="8">
        <f t="shared" si="49"/>
        <v>0.11350574712643668</v>
      </c>
      <c r="AC102" s="8">
        <f t="shared" si="49"/>
        <v>8.7741935483871547E-3</v>
      </c>
      <c r="AD102" s="8">
        <f t="shared" si="49"/>
        <v>-3.4279866973650597E-2</v>
      </c>
      <c r="AE102" s="8">
        <f t="shared" si="49"/>
        <v>-0.16741721854304636</v>
      </c>
      <c r="AF102" s="8">
        <f t="shared" si="49"/>
        <v>0.17562838052815777</v>
      </c>
      <c r="AG102" s="8">
        <f t="shared" si="49"/>
        <v>7.0365358592692884E-2</v>
      </c>
      <c r="AH102" s="8">
        <f t="shared" si="49"/>
        <v>-0.10290771175726932</v>
      </c>
      <c r="AI102" s="8">
        <f t="shared" si="49"/>
        <v>-4.3404735062006816E-2</v>
      </c>
      <c r="AJ102" s="8">
        <f t="shared" si="49"/>
        <v>0.11343547436652912</v>
      </c>
      <c r="AK102" s="8">
        <f t="shared" si="49"/>
        <v>2.2492722942577315E-2</v>
      </c>
      <c r="AL102" s="8">
        <f t="shared" si="49"/>
        <v>2.0703933747412417E-3</v>
      </c>
      <c r="AM102" s="8"/>
    </row>
    <row r="103" spans="1:39" x14ac:dyDescent="0.25">
      <c r="A103" s="5">
        <f t="shared" si="12"/>
        <v>1995</v>
      </c>
      <c r="B103" s="5">
        <f t="shared" si="13"/>
        <v>48</v>
      </c>
      <c r="C103" s="2">
        <v>35034</v>
      </c>
      <c r="D103" s="1">
        <v>2719</v>
      </c>
      <c r="H103" s="5">
        <f t="shared" si="7"/>
        <v>44</v>
      </c>
      <c r="I103" s="5"/>
      <c r="J103" s="8">
        <f t="shared" ref="J103:AM103" si="50">J48/I48-1</f>
        <v>2.4857954545454586E-2</v>
      </c>
      <c r="K103" s="8">
        <f t="shared" si="50"/>
        <v>0.10360360360360366</v>
      </c>
      <c r="L103" s="8">
        <f t="shared" si="50"/>
        <v>-3.6734693877551017E-2</v>
      </c>
      <c r="M103" s="8">
        <f t="shared" si="50"/>
        <v>-0.11571056062581486</v>
      </c>
      <c r="N103" s="8">
        <f t="shared" si="50"/>
        <v>0.16181349060081085</v>
      </c>
      <c r="O103" s="8">
        <f t="shared" si="50"/>
        <v>-2.220812182741172E-3</v>
      </c>
      <c r="P103" s="8">
        <f t="shared" si="50"/>
        <v>3.1796502384737746E-3</v>
      </c>
      <c r="Q103" s="8">
        <f t="shared" si="50"/>
        <v>4.3740095087163144E-2</v>
      </c>
      <c r="R103" s="8">
        <f t="shared" si="50"/>
        <v>-3.7959307622228988E-2</v>
      </c>
      <c r="S103" s="8">
        <f t="shared" si="50"/>
        <v>8.7436868686868729E-2</v>
      </c>
      <c r="T103" s="8">
        <f t="shared" si="50"/>
        <v>2.9027576197387495E-2</v>
      </c>
      <c r="U103" s="8">
        <f t="shared" si="50"/>
        <v>-3.7517630465444318E-2</v>
      </c>
      <c r="V103" s="8">
        <f t="shared" si="50"/>
        <v>0.11019929660023453</v>
      </c>
      <c r="W103" s="8">
        <f t="shared" si="50"/>
        <v>8.7117212249208098E-3</v>
      </c>
      <c r="X103" s="8">
        <f t="shared" si="50"/>
        <v>-7.3279246270609999E-3</v>
      </c>
      <c r="Y103" s="8">
        <f t="shared" si="50"/>
        <v>3.5591879778539504E-2</v>
      </c>
      <c r="Z103" s="8">
        <f t="shared" si="50"/>
        <v>-2.8513238289205711E-2</v>
      </c>
      <c r="AA103" s="8">
        <f t="shared" si="50"/>
        <v>-6.4203354297693971E-2</v>
      </c>
      <c r="AB103" s="8">
        <f t="shared" si="50"/>
        <v>0.10081209745169417</v>
      </c>
      <c r="AC103" s="8">
        <f t="shared" si="50"/>
        <v>8.1404222844059237E-3</v>
      </c>
      <c r="AD103" s="8">
        <f t="shared" si="50"/>
        <v>-4.3653797628059543E-2</v>
      </c>
      <c r="AE103" s="8">
        <f t="shared" si="50"/>
        <v>-0.15356200527704489</v>
      </c>
      <c r="AF103" s="8">
        <f t="shared" si="50"/>
        <v>0.16240648379052369</v>
      </c>
      <c r="AG103" s="8">
        <f t="shared" si="50"/>
        <v>5.0951997854652653E-2</v>
      </c>
      <c r="AH103" s="8">
        <f t="shared" si="50"/>
        <v>-7.8591477417708555E-2</v>
      </c>
      <c r="AI103" s="8">
        <f t="shared" si="50"/>
        <v>-3.0462475768485153E-2</v>
      </c>
      <c r="AJ103" s="8">
        <f t="shared" si="50"/>
        <v>7.7692087974864377E-2</v>
      </c>
      <c r="AK103" s="8">
        <f t="shared" si="50"/>
        <v>4.1876490856082693E-2</v>
      </c>
      <c r="AL103" s="8">
        <f t="shared" si="50"/>
        <v>-6.6140931060798547E-3</v>
      </c>
      <c r="AM103" s="8"/>
    </row>
    <row r="104" spans="1:39" x14ac:dyDescent="0.25">
      <c r="A104" s="5">
        <f t="shared" si="12"/>
        <v>1995</v>
      </c>
      <c r="B104" s="5">
        <f t="shared" si="13"/>
        <v>49</v>
      </c>
      <c r="C104" s="2">
        <v>35041</v>
      </c>
      <c r="D104" s="1">
        <v>2652</v>
      </c>
      <c r="H104" s="5">
        <f t="shared" si="7"/>
        <v>45</v>
      </c>
      <c r="I104" s="5"/>
      <c r="J104" s="8">
        <f t="shared" ref="J104:AM104" si="51">J49/I49-1</f>
        <v>3.6045681655960005E-2</v>
      </c>
      <c r="K104" s="8">
        <f t="shared" si="51"/>
        <v>0.10678608336203932</v>
      </c>
      <c r="L104" s="8">
        <f t="shared" si="51"/>
        <v>-3.8904450669156598E-2</v>
      </c>
      <c r="M104" s="8">
        <f t="shared" si="51"/>
        <v>-0.11010362694300513</v>
      </c>
      <c r="N104" s="8">
        <f t="shared" si="51"/>
        <v>0.1597525473071324</v>
      </c>
      <c r="O104" s="8">
        <f t="shared" si="51"/>
        <v>-2.8239723878255463E-2</v>
      </c>
      <c r="P104" s="8">
        <f t="shared" si="51"/>
        <v>2.9060381013884307E-2</v>
      </c>
      <c r="Q104" s="8">
        <f t="shared" si="51"/>
        <v>4.3928459366175066E-2</v>
      </c>
      <c r="R104" s="8">
        <f t="shared" si="51"/>
        <v>-2.9455966336038419E-2</v>
      </c>
      <c r="S104" s="8">
        <f t="shared" si="51"/>
        <v>6.844224218024153E-2</v>
      </c>
      <c r="T104" s="8">
        <f t="shared" si="51"/>
        <v>2.4927536231884151E-2</v>
      </c>
      <c r="U104" s="8">
        <f t="shared" si="51"/>
        <v>-1.8099547511312264E-2</v>
      </c>
      <c r="V104" s="8">
        <f t="shared" si="51"/>
        <v>9.8214285714285809E-2</v>
      </c>
      <c r="W104" s="8">
        <f t="shared" si="51"/>
        <v>7.0810385523210062E-3</v>
      </c>
      <c r="X104" s="8">
        <f t="shared" si="51"/>
        <v>-2.6041666666666297E-3</v>
      </c>
      <c r="Y104" s="8">
        <f t="shared" si="51"/>
        <v>2.088772845953013E-2</v>
      </c>
      <c r="Z104" s="8">
        <f t="shared" si="51"/>
        <v>-1.9437340153452665E-2</v>
      </c>
      <c r="AA104" s="8">
        <f t="shared" si="51"/>
        <v>-5.8163797600417344E-2</v>
      </c>
      <c r="AB104" s="8">
        <f t="shared" si="51"/>
        <v>0.10357241761284963</v>
      </c>
      <c r="AC104" s="8">
        <f t="shared" si="51"/>
        <v>8.0301129234630064E-3</v>
      </c>
      <c r="AD104" s="8">
        <f t="shared" si="51"/>
        <v>-6.0990789146128987E-2</v>
      </c>
      <c r="AE104" s="8">
        <f t="shared" si="51"/>
        <v>-0.13918345705196178</v>
      </c>
      <c r="AF104" s="8">
        <f t="shared" si="51"/>
        <v>0.1493686479827534</v>
      </c>
      <c r="AG104" s="8">
        <f t="shared" si="51"/>
        <v>5.2250803858520989E-2</v>
      </c>
      <c r="AH104" s="8">
        <f t="shared" si="51"/>
        <v>-7.8686019862490464E-2</v>
      </c>
      <c r="AI104" s="8">
        <f t="shared" si="51"/>
        <v>-1.0503040353786575E-2</v>
      </c>
      <c r="AJ104" s="8">
        <f t="shared" si="51"/>
        <v>7.0670391061452564E-2</v>
      </c>
      <c r="AK104" s="8">
        <f t="shared" si="51"/>
        <v>3.626402295851805E-2</v>
      </c>
      <c r="AL104" s="8">
        <f t="shared" si="51"/>
        <v>-5.5387713997986365E-3</v>
      </c>
      <c r="AM104" s="8"/>
    </row>
    <row r="105" spans="1:39" x14ac:dyDescent="0.25">
      <c r="A105" s="5">
        <f t="shared" si="12"/>
        <v>1995</v>
      </c>
      <c r="B105" s="5">
        <f t="shared" si="13"/>
        <v>50</v>
      </c>
      <c r="C105" s="2">
        <v>35048</v>
      </c>
      <c r="D105" s="1">
        <v>2477</v>
      </c>
      <c r="H105" s="5">
        <f t="shared" si="7"/>
        <v>46</v>
      </c>
      <c r="I105" s="5"/>
      <c r="J105" s="8">
        <f t="shared" ref="J105:AM105" si="52">J50/I50-1</f>
        <v>4.630650496141131E-2</v>
      </c>
      <c r="K105" s="8">
        <f t="shared" si="52"/>
        <v>0.11099402880224796</v>
      </c>
      <c r="L105" s="8">
        <f t="shared" si="52"/>
        <v>-1.8337021814732846E-2</v>
      </c>
      <c r="M105" s="8">
        <f t="shared" si="52"/>
        <v>-0.11626409017713368</v>
      </c>
      <c r="N105" s="8">
        <f t="shared" si="52"/>
        <v>0.17346938775510212</v>
      </c>
      <c r="O105" s="8">
        <f t="shared" si="52"/>
        <v>-3.8509316770186319E-2</v>
      </c>
      <c r="P105" s="8">
        <f t="shared" si="52"/>
        <v>1.9056847545219746E-2</v>
      </c>
      <c r="Q105" s="8">
        <f t="shared" si="52"/>
        <v>5.2614896988906423E-2</v>
      </c>
      <c r="R105" s="8">
        <f t="shared" si="52"/>
        <v>-1.1743450767841002E-2</v>
      </c>
      <c r="S105" s="8">
        <f t="shared" si="52"/>
        <v>5.0883607556368116E-2</v>
      </c>
      <c r="T105" s="8">
        <f t="shared" si="52"/>
        <v>2.6384459263554705E-2</v>
      </c>
      <c r="U105" s="8">
        <f t="shared" si="52"/>
        <v>-1.4689265536723117E-2</v>
      </c>
      <c r="V105" s="8">
        <f t="shared" si="52"/>
        <v>9.8910550458715552E-2</v>
      </c>
      <c r="W105" s="8">
        <f t="shared" si="52"/>
        <v>2.6089225150016659E-4</v>
      </c>
      <c r="X105" s="8">
        <f t="shared" si="52"/>
        <v>2.6082420448616528E-3</v>
      </c>
      <c r="Y105" s="8">
        <f t="shared" si="52"/>
        <v>7.5442247658688011E-3</v>
      </c>
      <c r="Z105" s="8">
        <f t="shared" si="52"/>
        <v>-2.1688613477924057E-2</v>
      </c>
      <c r="AA105" s="8">
        <f t="shared" si="52"/>
        <v>-5.1464766429136999E-2</v>
      </c>
      <c r="AB105" s="8">
        <f t="shared" si="52"/>
        <v>0.11296605453533659</v>
      </c>
      <c r="AC105" s="8">
        <f t="shared" si="52"/>
        <v>1.1749999999999927E-2</v>
      </c>
      <c r="AD105" s="8">
        <f t="shared" si="52"/>
        <v>-7.9318013343217197E-2</v>
      </c>
      <c r="AE105" s="8">
        <f t="shared" si="52"/>
        <v>-0.16451959205582389</v>
      </c>
      <c r="AF105" s="8">
        <f t="shared" si="52"/>
        <v>0.16864760681015101</v>
      </c>
      <c r="AG105" s="8">
        <f t="shared" si="52"/>
        <v>8.7960417811984604E-2</v>
      </c>
      <c r="AH105" s="8">
        <f t="shared" si="52"/>
        <v>-7.9332996462860073E-2</v>
      </c>
      <c r="AI105" s="8">
        <f t="shared" si="52"/>
        <v>0</v>
      </c>
      <c r="AJ105" s="8">
        <f t="shared" si="52"/>
        <v>4.9945115257958195E-2</v>
      </c>
      <c r="AK105" s="8">
        <f t="shared" si="52"/>
        <v>3.7375849451123822E-2</v>
      </c>
      <c r="AL105" s="8">
        <f t="shared" si="52"/>
        <v>-8.3144368858654172E-3</v>
      </c>
      <c r="AM105" s="8"/>
    </row>
    <row r="106" spans="1:39" x14ac:dyDescent="0.25">
      <c r="A106" s="5">
        <f t="shared" si="12"/>
        <v>1995</v>
      </c>
      <c r="B106" s="5">
        <f t="shared" si="13"/>
        <v>51</v>
      </c>
      <c r="C106" s="2">
        <v>35055</v>
      </c>
      <c r="D106" s="1">
        <v>2349</v>
      </c>
      <c r="H106" s="5">
        <f t="shared" si="7"/>
        <v>47</v>
      </c>
      <c r="I106" s="5"/>
      <c r="J106" s="8">
        <f t="shared" ref="J106:AM106" si="53">J51/I51-1</f>
        <v>3.2719067318540906E-2</v>
      </c>
      <c r="K106" s="8">
        <f t="shared" si="53"/>
        <v>0.14493809176984707</v>
      </c>
      <c r="L106" s="8">
        <f t="shared" si="53"/>
        <v>-1.717557251908397E-2</v>
      </c>
      <c r="M106" s="8">
        <f t="shared" si="53"/>
        <v>-0.14110032362459546</v>
      </c>
      <c r="N106" s="8">
        <f t="shared" si="53"/>
        <v>0.22456669178598343</v>
      </c>
      <c r="O106" s="8">
        <f t="shared" si="53"/>
        <v>-6.2461538461538457E-2</v>
      </c>
      <c r="P106" s="8">
        <f t="shared" si="53"/>
        <v>3.511650804069566E-2</v>
      </c>
      <c r="Q106" s="8">
        <f t="shared" si="53"/>
        <v>4.7558655675332906E-2</v>
      </c>
      <c r="R106" s="8">
        <f t="shared" si="53"/>
        <v>-9.0799031476997971E-3</v>
      </c>
      <c r="S106" s="8">
        <f t="shared" si="53"/>
        <v>4.3677458766035349E-2</v>
      </c>
      <c r="T106" s="8">
        <f t="shared" si="53"/>
        <v>3.2484635645302795E-2</v>
      </c>
      <c r="U106" s="8">
        <f t="shared" si="53"/>
        <v>-3.0045351473922954E-2</v>
      </c>
      <c r="V106" s="8">
        <f t="shared" si="53"/>
        <v>0.1206896551724137</v>
      </c>
      <c r="W106" s="8">
        <f t="shared" si="53"/>
        <v>-1.8252933507171276E-3</v>
      </c>
      <c r="X106" s="8">
        <f t="shared" si="53"/>
        <v>6.5308254963427625E-3</v>
      </c>
      <c r="Y106" s="8">
        <f t="shared" si="53"/>
        <v>5.9693745133662102E-3</v>
      </c>
      <c r="Z106" s="8">
        <f t="shared" si="53"/>
        <v>-2.605779153766774E-2</v>
      </c>
      <c r="AA106" s="8">
        <f t="shared" si="53"/>
        <v>-9.0860927152317861E-2</v>
      </c>
      <c r="AB106" s="8">
        <f t="shared" si="53"/>
        <v>0.16812354312354305</v>
      </c>
      <c r="AC106" s="8">
        <f t="shared" si="53"/>
        <v>8.9797954602144348E-3</v>
      </c>
      <c r="AD106" s="8">
        <f t="shared" si="53"/>
        <v>-8.7021013597033403E-2</v>
      </c>
      <c r="AE106" s="8">
        <f t="shared" si="53"/>
        <v>-0.17303005686433792</v>
      </c>
      <c r="AF106" s="8">
        <f t="shared" si="53"/>
        <v>0.18205631958087753</v>
      </c>
      <c r="AG106" s="8">
        <f t="shared" si="53"/>
        <v>9.1412742382271484E-2</v>
      </c>
      <c r="AH106" s="8">
        <f t="shared" si="53"/>
        <v>-8.0456852791878197E-2</v>
      </c>
      <c r="AI106" s="8">
        <f t="shared" si="53"/>
        <v>-1.6284846812034237E-2</v>
      </c>
      <c r="AJ106" s="8">
        <f t="shared" si="53"/>
        <v>7.6318742985409749E-2</v>
      </c>
      <c r="AK106" s="8">
        <f t="shared" si="53"/>
        <v>3.4150156412930066E-2</v>
      </c>
      <c r="AL106" s="8">
        <f t="shared" si="53"/>
        <v>-1.0839425258381663E-2</v>
      </c>
      <c r="AM106" s="8"/>
    </row>
    <row r="107" spans="1:39" x14ac:dyDescent="0.25">
      <c r="A107" s="5">
        <f t="shared" si="12"/>
        <v>1995</v>
      </c>
      <c r="B107" s="5">
        <f t="shared" si="13"/>
        <v>52</v>
      </c>
      <c r="C107" s="2">
        <v>35062</v>
      </c>
      <c r="D107" s="1">
        <v>2192</v>
      </c>
      <c r="H107" s="5">
        <f t="shared" si="7"/>
        <v>48</v>
      </c>
      <c r="I107" s="5"/>
      <c r="J107" s="8">
        <f t="shared" ref="J107:AM107" si="54">J52/I52-1</f>
        <v>6.1742868307932852E-2</v>
      </c>
      <c r="K107" s="8">
        <f t="shared" si="54"/>
        <v>0.15752668384247337</v>
      </c>
      <c r="L107" s="8">
        <f t="shared" si="54"/>
        <v>-1.3354531001589787E-2</v>
      </c>
      <c r="M107" s="8">
        <f t="shared" si="54"/>
        <v>-0.19239445697711888</v>
      </c>
      <c r="N107" s="8">
        <f t="shared" si="54"/>
        <v>0.29848363926576216</v>
      </c>
      <c r="O107" s="8">
        <f t="shared" si="54"/>
        <v>-9.1579594345421067E-2</v>
      </c>
      <c r="P107" s="8">
        <f t="shared" si="54"/>
        <v>4.7023004059539852E-2</v>
      </c>
      <c r="Q107" s="8">
        <f t="shared" si="54"/>
        <v>6.5912762520193846E-2</v>
      </c>
      <c r="R107" s="8">
        <f t="shared" si="54"/>
        <v>-2.2431039709002731E-2</v>
      </c>
      <c r="S107" s="8">
        <f t="shared" si="54"/>
        <v>5.6124031007751984E-2</v>
      </c>
      <c r="T107" s="8">
        <f t="shared" si="54"/>
        <v>9.9823840281856313E-3</v>
      </c>
      <c r="U107" s="8">
        <f t="shared" si="54"/>
        <v>-2.3837209302325579E-2</v>
      </c>
      <c r="V107" s="8">
        <f t="shared" si="54"/>
        <v>0.1426444312090529</v>
      </c>
      <c r="W107" s="8">
        <f t="shared" si="54"/>
        <v>-8.3398488402397497E-3</v>
      </c>
      <c r="X107" s="8">
        <f t="shared" si="54"/>
        <v>1.1826544021025009E-2</v>
      </c>
      <c r="Y107" s="8">
        <f t="shared" si="54"/>
        <v>-1.194805194805193E-2</v>
      </c>
      <c r="Z107" s="8">
        <f t="shared" si="54"/>
        <v>-5.0210304942166162E-2</v>
      </c>
      <c r="AA107" s="8">
        <f t="shared" si="54"/>
        <v>-5.6185995017990598E-2</v>
      </c>
      <c r="AB107" s="8">
        <f t="shared" si="54"/>
        <v>0.16011730205278596</v>
      </c>
      <c r="AC107" s="8">
        <f t="shared" si="54"/>
        <v>9.8584428715875472E-3</v>
      </c>
      <c r="AD107" s="8">
        <f t="shared" si="54"/>
        <v>-7.5093867334167674E-2</v>
      </c>
      <c r="AE107" s="8">
        <f t="shared" si="54"/>
        <v>-0.19052774018944518</v>
      </c>
      <c r="AF107" s="8">
        <f t="shared" si="54"/>
        <v>0.20060180541624884</v>
      </c>
      <c r="AG107" s="8">
        <f t="shared" si="54"/>
        <v>9.6908939014202167E-2</v>
      </c>
      <c r="AH107" s="8">
        <f t="shared" si="54"/>
        <v>-9.5201827875095235E-2</v>
      </c>
      <c r="AI107" s="8">
        <f t="shared" si="54"/>
        <v>-2.2727272727272707E-2</v>
      </c>
      <c r="AJ107" s="8">
        <f t="shared" si="54"/>
        <v>6.7757680160780875E-2</v>
      </c>
      <c r="AK107" s="8">
        <f t="shared" si="54"/>
        <v>5.8617908039795719E-2</v>
      </c>
      <c r="AL107" s="8">
        <f t="shared" si="54"/>
        <v>-6.0960121920243804E-3</v>
      </c>
      <c r="AM107" s="8"/>
    </row>
    <row r="108" spans="1:39" x14ac:dyDescent="0.25">
      <c r="A108" s="5">
        <f t="shared" si="12"/>
        <v>1996</v>
      </c>
      <c r="B108" s="5">
        <f t="shared" si="13"/>
        <v>1</v>
      </c>
      <c r="C108" s="2">
        <v>35069</v>
      </c>
      <c r="D108" s="1">
        <v>2063</v>
      </c>
      <c r="H108" s="5">
        <f t="shared" si="7"/>
        <v>49</v>
      </c>
      <c r="I108" s="5"/>
      <c r="J108" s="8">
        <f t="shared" ref="J108:AM108" si="55">J53/I53-1</f>
        <v>6.3855421686747071E-2</v>
      </c>
      <c r="K108" s="8">
        <f t="shared" si="55"/>
        <v>0.1974329935824839</v>
      </c>
      <c r="L108" s="8">
        <f t="shared" si="55"/>
        <v>-4.3190416141235866E-2</v>
      </c>
      <c r="M108" s="8">
        <f t="shared" si="55"/>
        <v>-0.19802306425041183</v>
      </c>
      <c r="N108" s="8">
        <f t="shared" si="55"/>
        <v>0.33032046014790462</v>
      </c>
      <c r="O108" s="8">
        <f t="shared" si="55"/>
        <v>-0.13712168004941316</v>
      </c>
      <c r="P108" s="8">
        <f t="shared" si="55"/>
        <v>6.8002863278453729E-2</v>
      </c>
      <c r="Q108" s="8">
        <f t="shared" si="55"/>
        <v>7.6072386058981145E-2</v>
      </c>
      <c r="R108" s="8">
        <f t="shared" si="55"/>
        <v>-1.4014325755216439E-2</v>
      </c>
      <c r="S108" s="8">
        <f t="shared" si="55"/>
        <v>2.2741629816803499E-2</v>
      </c>
      <c r="T108" s="8">
        <f t="shared" si="55"/>
        <v>1.7294626312538641E-2</v>
      </c>
      <c r="U108" s="8">
        <f t="shared" si="55"/>
        <v>-9.1074681238612065E-4</v>
      </c>
      <c r="V108" s="8">
        <f t="shared" si="55"/>
        <v>0.14646004254026135</v>
      </c>
      <c r="W108" s="8">
        <f t="shared" si="55"/>
        <v>-1.4842300556586308E-2</v>
      </c>
      <c r="X108" s="8">
        <f t="shared" si="55"/>
        <v>3.0400860909335581E-2</v>
      </c>
      <c r="Y108" s="8">
        <f t="shared" si="55"/>
        <v>-6.2663185378589725E-3</v>
      </c>
      <c r="Z108" s="8">
        <f t="shared" si="55"/>
        <v>-7.1728849185496601E-2</v>
      </c>
      <c r="AA108" s="8">
        <f t="shared" si="55"/>
        <v>-4.9249929238607382E-2</v>
      </c>
      <c r="AB108" s="8">
        <f t="shared" si="55"/>
        <v>0.15510568621613574</v>
      </c>
      <c r="AC108" s="8">
        <f t="shared" si="55"/>
        <v>1.8814432989690655E-2</v>
      </c>
      <c r="AD108" s="8">
        <f t="shared" si="55"/>
        <v>-8.2721983303819857E-2</v>
      </c>
      <c r="AE108" s="8">
        <f t="shared" si="55"/>
        <v>-0.19635962493105352</v>
      </c>
      <c r="AF108" s="8">
        <f t="shared" si="55"/>
        <v>0.20727522306108437</v>
      </c>
      <c r="AG108" s="8">
        <f t="shared" si="55"/>
        <v>9.3803297328027391E-2</v>
      </c>
      <c r="AH108" s="8">
        <f t="shared" si="55"/>
        <v>-8.9137214137214094E-2</v>
      </c>
      <c r="AI108" s="8">
        <f t="shared" si="55"/>
        <v>-1.2268188302425154E-2</v>
      </c>
      <c r="AJ108" s="8">
        <f t="shared" si="55"/>
        <v>5.8347775852108708E-2</v>
      </c>
      <c r="AK108" s="8">
        <f t="shared" si="55"/>
        <v>2.265283842794763E-2</v>
      </c>
      <c r="AL108" s="8">
        <f t="shared" si="55"/>
        <v>-3.2025620496397567E-3</v>
      </c>
      <c r="AM108" s="8"/>
    </row>
    <row r="109" spans="1:39" x14ac:dyDescent="0.25">
      <c r="A109" s="5">
        <f t="shared" si="12"/>
        <v>1996</v>
      </c>
      <c r="B109" s="5">
        <f t="shared" si="13"/>
        <v>2</v>
      </c>
      <c r="C109" s="2">
        <v>35076</v>
      </c>
      <c r="D109" s="1">
        <v>1872</v>
      </c>
      <c r="H109" s="5">
        <f t="shared" si="7"/>
        <v>50</v>
      </c>
      <c r="I109" s="5"/>
      <c r="J109" s="8">
        <f t="shared" ref="J109:AM109" si="56">J54/I54-1</f>
        <v>2.8700287002870084E-2</v>
      </c>
      <c r="K109" s="8">
        <f t="shared" si="56"/>
        <v>0.2455161418891989</v>
      </c>
      <c r="L109" s="8">
        <f t="shared" si="56"/>
        <v>-5.2159999999999984E-2</v>
      </c>
      <c r="M109" s="8">
        <f t="shared" si="56"/>
        <v>-0.22788656313301825</v>
      </c>
      <c r="N109" s="8">
        <f t="shared" si="56"/>
        <v>0.39702667249672063</v>
      </c>
      <c r="O109" s="8">
        <f t="shared" si="56"/>
        <v>-0.17527386541471046</v>
      </c>
      <c r="P109" s="8">
        <f t="shared" si="56"/>
        <v>8.1593927893738094E-2</v>
      </c>
      <c r="Q109" s="8">
        <f t="shared" si="56"/>
        <v>0.10526315789473695</v>
      </c>
      <c r="R109" s="8">
        <f t="shared" si="56"/>
        <v>-5.9047619047619015E-2</v>
      </c>
      <c r="S109" s="8">
        <f t="shared" si="56"/>
        <v>6.8488529014844701E-2</v>
      </c>
      <c r="T109" s="8">
        <f t="shared" si="56"/>
        <v>1.8945374171139839E-3</v>
      </c>
      <c r="U109" s="8">
        <f t="shared" si="56"/>
        <v>-1.8909549322407848E-3</v>
      </c>
      <c r="V109" s="8">
        <f t="shared" si="56"/>
        <v>0.12598673823808015</v>
      </c>
      <c r="W109" s="8">
        <f t="shared" si="56"/>
        <v>-3.6455412226584771E-3</v>
      </c>
      <c r="X109" s="8">
        <f t="shared" si="56"/>
        <v>4.9535603715170184E-2</v>
      </c>
      <c r="Y109" s="8">
        <f t="shared" si="56"/>
        <v>-1.3408420488066897E-3</v>
      </c>
      <c r="Z109" s="8">
        <f t="shared" si="56"/>
        <v>-0.1278195488721805</v>
      </c>
      <c r="AA109" s="8">
        <f t="shared" si="56"/>
        <v>1.4778325123152802E-2</v>
      </c>
      <c r="AB109" s="8">
        <f t="shared" si="56"/>
        <v>0.16686893203883502</v>
      </c>
      <c r="AC109" s="8">
        <f t="shared" si="56"/>
        <v>-1.0400416016640657E-2</v>
      </c>
      <c r="AD109" s="8">
        <f t="shared" si="56"/>
        <v>-9.5112979506043138E-2</v>
      </c>
      <c r="AE109" s="8">
        <f t="shared" si="56"/>
        <v>-0.1948315911730546</v>
      </c>
      <c r="AF109" s="8">
        <f t="shared" si="56"/>
        <v>0.23007573025604033</v>
      </c>
      <c r="AG109" s="8">
        <f t="shared" si="56"/>
        <v>9.2348284960422244E-2</v>
      </c>
      <c r="AH109" s="8">
        <f t="shared" si="56"/>
        <v>-8.2930756843800357E-2</v>
      </c>
      <c r="AI109" s="8">
        <f t="shared" si="56"/>
        <v>-1.4632718759145513E-3</v>
      </c>
      <c r="AJ109" s="8">
        <f t="shared" si="56"/>
        <v>4.8358733880422111E-2</v>
      </c>
      <c r="AK109" s="8">
        <f t="shared" si="56"/>
        <v>1.2580374615599688E-2</v>
      </c>
      <c r="AL109" s="8">
        <f t="shared" si="56"/>
        <v>-1.4632799558255138E-2</v>
      </c>
      <c r="AM109" s="8"/>
    </row>
    <row r="110" spans="1:39" x14ac:dyDescent="0.25">
      <c r="A110" s="5">
        <f t="shared" si="12"/>
        <v>1996</v>
      </c>
      <c r="B110" s="5">
        <f t="shared" si="13"/>
        <v>3</v>
      </c>
      <c r="C110" s="2">
        <v>35083</v>
      </c>
      <c r="D110" s="1">
        <v>1775</v>
      </c>
      <c r="H110" s="5">
        <f t="shared" si="7"/>
        <v>51</v>
      </c>
      <c r="I110" s="5"/>
      <c r="J110" s="8">
        <f t="shared" ref="J110:AM110" si="57">J55/I55-1</f>
        <v>2.6406926406926434E-2</v>
      </c>
      <c r="K110" s="8">
        <f t="shared" si="57"/>
        <v>0.28131590046393917</v>
      </c>
      <c r="L110" s="8">
        <f t="shared" si="57"/>
        <v>-6.4186965108624094E-2</v>
      </c>
      <c r="M110" s="8">
        <f t="shared" si="57"/>
        <v>-0.24727400633134011</v>
      </c>
      <c r="N110" s="8">
        <f t="shared" si="57"/>
        <v>0.45560747663551404</v>
      </c>
      <c r="O110" s="8">
        <f t="shared" si="57"/>
        <v>-0.1845906902086677</v>
      </c>
      <c r="P110" s="8">
        <f t="shared" si="57"/>
        <v>6.2598425196850327E-2</v>
      </c>
      <c r="Q110" s="8">
        <f t="shared" si="57"/>
        <v>0.12152649129307158</v>
      </c>
      <c r="R110" s="8">
        <f t="shared" si="57"/>
        <v>-7.4331020812685833E-2</v>
      </c>
      <c r="S110" s="8">
        <f t="shared" si="57"/>
        <v>0.1138472519628837</v>
      </c>
      <c r="T110" s="8">
        <f t="shared" si="57"/>
        <v>-3.6206344120474188E-2</v>
      </c>
      <c r="U110" s="8">
        <f t="shared" si="57"/>
        <v>3.9893617021276029E-3</v>
      </c>
      <c r="V110" s="8">
        <f t="shared" si="57"/>
        <v>0.1258278145695364</v>
      </c>
      <c r="W110" s="8">
        <f t="shared" si="57"/>
        <v>-9.1176470588235636E-3</v>
      </c>
      <c r="X110" s="8">
        <f t="shared" si="57"/>
        <v>7.687741169486495E-2</v>
      </c>
      <c r="Y110" s="8">
        <f t="shared" si="57"/>
        <v>6.8908489525909555E-3</v>
      </c>
      <c r="Z110" s="8">
        <f t="shared" si="57"/>
        <v>-0.159321105940323</v>
      </c>
      <c r="AA110" s="8">
        <f t="shared" si="57"/>
        <v>5.6984695538912389E-2</v>
      </c>
      <c r="AB110" s="8">
        <f t="shared" si="57"/>
        <v>0.17498459642637099</v>
      </c>
      <c r="AC110" s="8">
        <f t="shared" si="57"/>
        <v>-5.6895647614053524E-2</v>
      </c>
      <c r="AD110" s="8">
        <f t="shared" si="57"/>
        <v>-7.3672504865165411E-2</v>
      </c>
      <c r="AE110" s="8">
        <f t="shared" si="57"/>
        <v>-0.18217286914765907</v>
      </c>
      <c r="AF110" s="8">
        <f t="shared" si="57"/>
        <v>0.19266055045871555</v>
      </c>
      <c r="AG110" s="8">
        <f t="shared" si="57"/>
        <v>9.9692307692307747E-2</v>
      </c>
      <c r="AH110" s="8">
        <f t="shared" si="57"/>
        <v>-5.9317291550083917E-2</v>
      </c>
      <c r="AI110" s="8">
        <f t="shared" si="57"/>
        <v>-1.100535395597857E-2</v>
      </c>
      <c r="AJ110" s="8">
        <f t="shared" si="57"/>
        <v>4.9624060150375904E-2</v>
      </c>
      <c r="AK110" s="8">
        <f t="shared" si="57"/>
        <v>1.1174785100286577E-2</v>
      </c>
      <c r="AL110" s="8">
        <f t="shared" si="57"/>
        <v>-3.6270898271465013E-2</v>
      </c>
      <c r="AM110" s="8"/>
    </row>
    <row r="111" spans="1:39" x14ac:dyDescent="0.25">
      <c r="A111" s="5">
        <f t="shared" si="12"/>
        <v>1996</v>
      </c>
      <c r="B111" s="5">
        <f t="shared" si="13"/>
        <v>4</v>
      </c>
      <c r="C111" s="2">
        <v>35090</v>
      </c>
      <c r="D111" s="1">
        <v>1618</v>
      </c>
      <c r="H111" s="5">
        <f t="shared" si="7"/>
        <v>52</v>
      </c>
      <c r="I111" s="5"/>
      <c r="J111" s="8">
        <f t="shared" ref="J111:AM111" si="58">J56/I56-1</f>
        <v>4.1743119266055118E-2</v>
      </c>
      <c r="K111" s="8">
        <f t="shared" si="58"/>
        <v>0.26376045794804059</v>
      </c>
      <c r="L111" s="8">
        <f t="shared" si="58"/>
        <v>-7.2125435540069671E-2</v>
      </c>
      <c r="M111" s="8">
        <f t="shared" si="58"/>
        <v>-0.25910627112279383</v>
      </c>
      <c r="N111" s="8">
        <f t="shared" si="58"/>
        <v>0.51495184997465793</v>
      </c>
      <c r="O111" s="8">
        <f t="shared" si="58"/>
        <v>-0.19136835061893609</v>
      </c>
      <c r="P111" s="8">
        <f t="shared" si="58"/>
        <v>8.3574679354571746E-2</v>
      </c>
      <c r="Q111" s="8">
        <f t="shared" si="58"/>
        <v>8.7819778541428084E-2</v>
      </c>
      <c r="R111" s="8">
        <f t="shared" si="58"/>
        <v>-7.3359073359073323E-2</v>
      </c>
      <c r="S111" s="8">
        <f t="shared" si="58"/>
        <v>0.16439393939393931</v>
      </c>
      <c r="T111" s="8">
        <f t="shared" si="58"/>
        <v>-4.977228366948605E-2</v>
      </c>
      <c r="U111" s="8">
        <f t="shared" si="58"/>
        <v>-1.5063334474495038E-2</v>
      </c>
      <c r="V111" s="8">
        <f t="shared" si="58"/>
        <v>0.13868613138686126</v>
      </c>
      <c r="W111" s="8">
        <f t="shared" si="58"/>
        <v>-1.3431013431013383E-2</v>
      </c>
      <c r="X111" s="8">
        <f t="shared" si="58"/>
        <v>9.7772277227722748E-2</v>
      </c>
      <c r="Y111" s="8">
        <f t="shared" si="58"/>
        <v>-8.7373167981961153E-3</v>
      </c>
      <c r="Z111" s="8">
        <f t="shared" si="58"/>
        <v>-0.15410861529712827</v>
      </c>
      <c r="AA111" s="8">
        <f t="shared" si="58"/>
        <v>8.2352941176470518E-2</v>
      </c>
      <c r="AB111" s="8">
        <f t="shared" si="58"/>
        <v>0.16645962732919251</v>
      </c>
      <c r="AC111" s="8">
        <f t="shared" si="58"/>
        <v>-0.10543130990415339</v>
      </c>
      <c r="AD111" s="8">
        <f t="shared" si="58"/>
        <v>-6.9642857142857117E-2</v>
      </c>
      <c r="AE111" s="8">
        <f t="shared" si="58"/>
        <v>-0.13467690339091487</v>
      </c>
      <c r="AF111" s="8">
        <f t="shared" si="58"/>
        <v>0.18003696857670981</v>
      </c>
      <c r="AG111" s="8">
        <f t="shared" si="58"/>
        <v>8.3959899749373346E-2</v>
      </c>
      <c r="AH111" s="8">
        <f t="shared" si="58"/>
        <v>-6.7630057803468202E-2</v>
      </c>
      <c r="AI111" s="8">
        <f t="shared" si="58"/>
        <v>-3.5337879727216359E-2</v>
      </c>
      <c r="AJ111" s="8">
        <f t="shared" si="58"/>
        <v>0.11696658097686385</v>
      </c>
      <c r="AK111" s="8">
        <f t="shared" si="58"/>
        <v>-1.8124280782508606E-2</v>
      </c>
      <c r="AL111" s="8">
        <f t="shared" si="58"/>
        <v>-1.4356870788162945E-2</v>
      </c>
      <c r="AM111" s="8"/>
    </row>
    <row r="112" spans="1:39" x14ac:dyDescent="0.25">
      <c r="A112" s="5">
        <f t="shared" si="12"/>
        <v>1996</v>
      </c>
      <c r="B112" s="5">
        <f t="shared" si="13"/>
        <v>5</v>
      </c>
      <c r="C112" s="2">
        <v>35097</v>
      </c>
      <c r="D112" s="1">
        <v>1409</v>
      </c>
    </row>
    <row r="113" spans="1:14" x14ac:dyDescent="0.25">
      <c r="A113" s="5">
        <f t="shared" si="12"/>
        <v>1996</v>
      </c>
      <c r="B113" s="5">
        <f t="shared" si="13"/>
        <v>6</v>
      </c>
      <c r="C113" s="2">
        <v>35104</v>
      </c>
      <c r="D113" s="1">
        <v>1191</v>
      </c>
    </row>
    <row r="114" spans="1:14" x14ac:dyDescent="0.25">
      <c r="A114" s="5">
        <f t="shared" si="12"/>
        <v>1996</v>
      </c>
      <c r="B114" s="5">
        <f t="shared" si="13"/>
        <v>7</v>
      </c>
      <c r="C114" s="2">
        <v>35111</v>
      </c>
      <c r="D114" s="1">
        <v>1112</v>
      </c>
    </row>
    <row r="115" spans="1:14" x14ac:dyDescent="0.25">
      <c r="A115" s="5">
        <f t="shared" si="12"/>
        <v>1996</v>
      </c>
      <c r="B115" s="5">
        <f t="shared" si="13"/>
        <v>8</v>
      </c>
      <c r="C115" s="2">
        <v>35118</v>
      </c>
      <c r="D115" s="1">
        <v>1061</v>
      </c>
      <c r="J115" s="9">
        <f>AVERAGE(J61:AM111)</f>
        <v>4.3784369041837093E-2</v>
      </c>
      <c r="L115" s="8">
        <f>MEDIAN(J61:AM111)</f>
        <v>1.5753938484621255E-2</v>
      </c>
      <c r="N115" s="9">
        <f>STDEV(J61:AM111)</f>
        <v>0.2282796911334308</v>
      </c>
    </row>
    <row r="116" spans="1:14" x14ac:dyDescent="0.25">
      <c r="A116" s="5">
        <f t="shared" si="12"/>
        <v>1996</v>
      </c>
      <c r="B116" s="5">
        <f t="shared" si="13"/>
        <v>9</v>
      </c>
      <c r="C116" s="2">
        <v>35125</v>
      </c>
      <c r="D116" s="1">
        <v>1017</v>
      </c>
    </row>
    <row r="117" spans="1:14" x14ac:dyDescent="0.25">
      <c r="A117" s="5">
        <f t="shared" si="12"/>
        <v>1996</v>
      </c>
      <c r="B117" s="5">
        <f t="shared" si="13"/>
        <v>10</v>
      </c>
      <c r="C117" s="2">
        <v>35132</v>
      </c>
      <c r="D117" s="1">
        <v>909</v>
      </c>
    </row>
    <row r="118" spans="1:14" x14ac:dyDescent="0.25">
      <c r="A118" s="5">
        <f t="shared" si="12"/>
        <v>1996</v>
      </c>
      <c r="B118" s="5">
        <f t="shared" si="13"/>
        <v>11</v>
      </c>
      <c r="C118" s="2">
        <v>35139</v>
      </c>
      <c r="D118" s="1">
        <v>844</v>
      </c>
    </row>
    <row r="119" spans="1:14" x14ac:dyDescent="0.25">
      <c r="A119" s="5">
        <f t="shared" si="12"/>
        <v>1996</v>
      </c>
      <c r="B119" s="5">
        <f t="shared" si="13"/>
        <v>12</v>
      </c>
      <c r="C119" s="2">
        <v>35146</v>
      </c>
      <c r="D119" s="1">
        <v>810</v>
      </c>
    </row>
    <row r="120" spans="1:14" x14ac:dyDescent="0.25">
      <c r="A120" s="5">
        <f t="shared" si="12"/>
        <v>1996</v>
      </c>
      <c r="B120" s="5">
        <f t="shared" si="13"/>
        <v>13</v>
      </c>
      <c r="C120" s="2">
        <v>35153</v>
      </c>
      <c r="D120" s="1">
        <v>757</v>
      </c>
    </row>
    <row r="121" spans="1:14" x14ac:dyDescent="0.25">
      <c r="A121" s="5">
        <f t="shared" si="12"/>
        <v>1996</v>
      </c>
      <c r="B121" s="5">
        <f t="shared" si="13"/>
        <v>14</v>
      </c>
      <c r="C121" s="2">
        <v>35160</v>
      </c>
      <c r="D121" s="1">
        <v>733</v>
      </c>
    </row>
    <row r="122" spans="1:14" x14ac:dyDescent="0.25">
      <c r="A122" s="5">
        <f t="shared" si="12"/>
        <v>1996</v>
      </c>
      <c r="B122" s="5">
        <f t="shared" si="13"/>
        <v>15</v>
      </c>
      <c r="C122" s="2">
        <v>35167</v>
      </c>
      <c r="D122" s="1">
        <v>697</v>
      </c>
    </row>
    <row r="123" spans="1:14" x14ac:dyDescent="0.25">
      <c r="A123" s="5">
        <f t="shared" si="12"/>
        <v>1996</v>
      </c>
      <c r="B123" s="5">
        <f t="shared" si="13"/>
        <v>16</v>
      </c>
      <c r="C123" s="2">
        <v>35174</v>
      </c>
      <c r="D123" s="1">
        <v>729</v>
      </c>
    </row>
    <row r="124" spans="1:14" x14ac:dyDescent="0.25">
      <c r="A124" s="5">
        <f t="shared" si="12"/>
        <v>1996</v>
      </c>
      <c r="B124" s="5">
        <f t="shared" si="13"/>
        <v>17</v>
      </c>
      <c r="C124" s="2">
        <v>35181</v>
      </c>
      <c r="D124" s="1">
        <v>819</v>
      </c>
    </row>
    <row r="125" spans="1:14" x14ac:dyDescent="0.25">
      <c r="A125" s="5">
        <f t="shared" si="12"/>
        <v>1996</v>
      </c>
      <c r="B125" s="5">
        <f t="shared" si="13"/>
        <v>18</v>
      </c>
      <c r="C125" s="2">
        <v>35188</v>
      </c>
      <c r="D125" s="1">
        <v>879</v>
      </c>
    </row>
    <row r="126" spans="1:14" x14ac:dyDescent="0.25">
      <c r="A126" s="5">
        <f t="shared" si="12"/>
        <v>1996</v>
      </c>
      <c r="B126" s="5">
        <f t="shared" si="13"/>
        <v>19</v>
      </c>
      <c r="C126" s="2">
        <v>35195</v>
      </c>
      <c r="D126" s="1">
        <v>945</v>
      </c>
    </row>
    <row r="127" spans="1:14" x14ac:dyDescent="0.25">
      <c r="A127" s="5">
        <f t="shared" si="12"/>
        <v>1996</v>
      </c>
      <c r="B127" s="5">
        <f t="shared" si="13"/>
        <v>20</v>
      </c>
      <c r="C127" s="2">
        <v>35202</v>
      </c>
      <c r="D127" s="1">
        <v>1000</v>
      </c>
    </row>
    <row r="128" spans="1:14" x14ac:dyDescent="0.25">
      <c r="A128" s="5">
        <f t="shared" si="12"/>
        <v>1996</v>
      </c>
      <c r="B128" s="5">
        <f t="shared" si="13"/>
        <v>21</v>
      </c>
      <c r="C128" s="2">
        <v>35209</v>
      </c>
      <c r="D128" s="1">
        <v>1081</v>
      </c>
    </row>
    <row r="129" spans="1:4" x14ac:dyDescent="0.25">
      <c r="A129" s="5">
        <f t="shared" si="12"/>
        <v>1996</v>
      </c>
      <c r="B129" s="5">
        <f t="shared" si="13"/>
        <v>22</v>
      </c>
      <c r="C129" s="2">
        <v>35216</v>
      </c>
      <c r="D129" s="1">
        <v>1161</v>
      </c>
    </row>
    <row r="130" spans="1:4" x14ac:dyDescent="0.25">
      <c r="A130" s="5">
        <f t="shared" si="12"/>
        <v>1996</v>
      </c>
      <c r="B130" s="5">
        <f t="shared" si="13"/>
        <v>23</v>
      </c>
      <c r="C130" s="2">
        <v>35223</v>
      </c>
      <c r="D130" s="1">
        <v>1251</v>
      </c>
    </row>
    <row r="131" spans="1:4" x14ac:dyDescent="0.25">
      <c r="A131" s="5">
        <f t="shared" ref="A131:A194" si="59">YEAR(C131)</f>
        <v>1996</v>
      </c>
      <c r="B131" s="5">
        <f t="shared" ref="B131:B194" si="60">WEEKNUM(C131)</f>
        <v>24</v>
      </c>
      <c r="C131" s="2">
        <v>35230</v>
      </c>
      <c r="D131" s="1">
        <v>1338</v>
      </c>
    </row>
    <row r="132" spans="1:4" x14ac:dyDescent="0.25">
      <c r="A132" s="5">
        <f t="shared" si="59"/>
        <v>1996</v>
      </c>
      <c r="B132" s="5">
        <f t="shared" si="60"/>
        <v>25</v>
      </c>
      <c r="C132" s="2">
        <v>35237</v>
      </c>
      <c r="D132" s="1">
        <v>1423</v>
      </c>
    </row>
    <row r="133" spans="1:4" x14ac:dyDescent="0.25">
      <c r="A133" s="5">
        <f t="shared" si="59"/>
        <v>1996</v>
      </c>
      <c r="B133" s="5">
        <f t="shared" si="60"/>
        <v>26</v>
      </c>
      <c r="C133" s="2">
        <v>35244</v>
      </c>
      <c r="D133" s="1">
        <v>1507</v>
      </c>
    </row>
    <row r="134" spans="1:4" x14ac:dyDescent="0.25">
      <c r="A134" s="5">
        <f t="shared" si="59"/>
        <v>1996</v>
      </c>
      <c r="B134" s="5">
        <f t="shared" si="60"/>
        <v>27</v>
      </c>
      <c r="C134" s="2">
        <v>35251</v>
      </c>
      <c r="D134" s="1">
        <v>1593</v>
      </c>
    </row>
    <row r="135" spans="1:4" x14ac:dyDescent="0.25">
      <c r="A135" s="5">
        <f t="shared" si="59"/>
        <v>1996</v>
      </c>
      <c r="B135" s="5">
        <f t="shared" si="60"/>
        <v>28</v>
      </c>
      <c r="C135" s="2">
        <v>35258</v>
      </c>
      <c r="D135" s="1">
        <v>1684</v>
      </c>
    </row>
    <row r="136" spans="1:4" x14ac:dyDescent="0.25">
      <c r="A136" s="5">
        <f t="shared" si="59"/>
        <v>1996</v>
      </c>
      <c r="B136" s="5">
        <f t="shared" si="60"/>
        <v>29</v>
      </c>
      <c r="C136" s="2">
        <v>35265</v>
      </c>
      <c r="D136" s="1">
        <v>1770</v>
      </c>
    </row>
    <row r="137" spans="1:4" x14ac:dyDescent="0.25">
      <c r="A137" s="5">
        <f t="shared" si="59"/>
        <v>1996</v>
      </c>
      <c r="B137" s="5">
        <f t="shared" si="60"/>
        <v>30</v>
      </c>
      <c r="C137" s="2">
        <v>35272</v>
      </c>
      <c r="D137" s="1">
        <v>1844</v>
      </c>
    </row>
    <row r="138" spans="1:4" x14ac:dyDescent="0.25">
      <c r="A138" s="5">
        <f t="shared" si="59"/>
        <v>1996</v>
      </c>
      <c r="B138" s="5">
        <f t="shared" si="60"/>
        <v>31</v>
      </c>
      <c r="C138" s="2">
        <v>35279</v>
      </c>
      <c r="D138" s="1">
        <v>1921</v>
      </c>
    </row>
    <row r="139" spans="1:4" x14ac:dyDescent="0.25">
      <c r="A139" s="5">
        <f t="shared" si="59"/>
        <v>1996</v>
      </c>
      <c r="B139" s="5">
        <f t="shared" si="60"/>
        <v>32</v>
      </c>
      <c r="C139" s="2">
        <v>35286</v>
      </c>
      <c r="D139" s="1">
        <v>1996</v>
      </c>
    </row>
    <row r="140" spans="1:4" x14ac:dyDescent="0.25">
      <c r="A140" s="5">
        <f t="shared" si="59"/>
        <v>1996</v>
      </c>
      <c r="B140" s="5">
        <f t="shared" si="60"/>
        <v>33</v>
      </c>
      <c r="C140" s="2">
        <v>35293</v>
      </c>
      <c r="D140" s="1">
        <v>2083</v>
      </c>
    </row>
    <row r="141" spans="1:4" x14ac:dyDescent="0.25">
      <c r="A141" s="5">
        <f t="shared" si="59"/>
        <v>1996</v>
      </c>
      <c r="B141" s="5">
        <f t="shared" si="60"/>
        <v>34</v>
      </c>
      <c r="C141" s="2">
        <v>35300</v>
      </c>
      <c r="D141" s="1">
        <v>2146</v>
      </c>
    </row>
    <row r="142" spans="1:4" x14ac:dyDescent="0.25">
      <c r="A142" s="5">
        <f t="shared" si="59"/>
        <v>1996</v>
      </c>
      <c r="B142" s="5">
        <f t="shared" si="60"/>
        <v>35</v>
      </c>
      <c r="C142" s="2">
        <v>35307</v>
      </c>
      <c r="D142" s="1">
        <v>2232</v>
      </c>
    </row>
    <row r="143" spans="1:4" x14ac:dyDescent="0.25">
      <c r="A143" s="5">
        <f t="shared" si="59"/>
        <v>1996</v>
      </c>
      <c r="B143" s="5">
        <f t="shared" si="60"/>
        <v>36</v>
      </c>
      <c r="C143" s="2">
        <v>35314</v>
      </c>
      <c r="D143" s="1">
        <v>2326</v>
      </c>
    </row>
    <row r="144" spans="1:4" x14ac:dyDescent="0.25">
      <c r="A144" s="5">
        <f t="shared" si="59"/>
        <v>1996</v>
      </c>
      <c r="B144" s="5">
        <f t="shared" si="60"/>
        <v>37</v>
      </c>
      <c r="C144" s="2">
        <v>35321</v>
      </c>
      <c r="D144" s="1">
        <v>2406</v>
      </c>
    </row>
    <row r="145" spans="1:4" x14ac:dyDescent="0.25">
      <c r="A145" s="5">
        <f t="shared" si="59"/>
        <v>1996</v>
      </c>
      <c r="B145" s="5">
        <f t="shared" si="60"/>
        <v>38</v>
      </c>
      <c r="C145" s="2">
        <v>35328</v>
      </c>
      <c r="D145" s="1">
        <v>2490</v>
      </c>
    </row>
    <row r="146" spans="1:4" x14ac:dyDescent="0.25">
      <c r="A146" s="5">
        <f t="shared" si="59"/>
        <v>1996</v>
      </c>
      <c r="B146" s="5">
        <f t="shared" si="60"/>
        <v>39</v>
      </c>
      <c r="C146" s="2">
        <v>35335</v>
      </c>
      <c r="D146" s="1">
        <v>2568</v>
      </c>
    </row>
    <row r="147" spans="1:4" x14ac:dyDescent="0.25">
      <c r="A147" s="5">
        <f t="shared" si="59"/>
        <v>1996</v>
      </c>
      <c r="B147" s="5">
        <f t="shared" si="60"/>
        <v>40</v>
      </c>
      <c r="C147" s="2">
        <v>35342</v>
      </c>
      <c r="D147" s="1">
        <v>2659</v>
      </c>
    </row>
    <row r="148" spans="1:4" x14ac:dyDescent="0.25">
      <c r="A148" s="5">
        <f t="shared" si="59"/>
        <v>1996</v>
      </c>
      <c r="B148" s="5">
        <f t="shared" si="60"/>
        <v>41</v>
      </c>
      <c r="C148" s="2">
        <v>35349</v>
      </c>
      <c r="D148" s="1">
        <v>2697</v>
      </c>
    </row>
    <row r="149" spans="1:4" x14ac:dyDescent="0.25">
      <c r="A149" s="5">
        <f t="shared" si="59"/>
        <v>1996</v>
      </c>
      <c r="B149" s="5">
        <f t="shared" si="60"/>
        <v>42</v>
      </c>
      <c r="C149" s="2">
        <v>35356</v>
      </c>
      <c r="D149" s="1">
        <v>2755</v>
      </c>
    </row>
    <row r="150" spans="1:4" x14ac:dyDescent="0.25">
      <c r="A150" s="5">
        <f t="shared" si="59"/>
        <v>1996</v>
      </c>
      <c r="B150" s="5">
        <f t="shared" si="60"/>
        <v>43</v>
      </c>
      <c r="C150" s="2">
        <v>35363</v>
      </c>
      <c r="D150" s="1">
        <v>2788</v>
      </c>
    </row>
    <row r="151" spans="1:4" x14ac:dyDescent="0.25">
      <c r="A151" s="5">
        <f t="shared" si="59"/>
        <v>1996</v>
      </c>
      <c r="B151" s="5">
        <f t="shared" si="60"/>
        <v>44</v>
      </c>
      <c r="C151" s="2">
        <v>35370</v>
      </c>
      <c r="D151" s="1">
        <v>2816</v>
      </c>
    </row>
    <row r="152" spans="1:4" x14ac:dyDescent="0.25">
      <c r="A152" s="5">
        <f t="shared" si="59"/>
        <v>1996</v>
      </c>
      <c r="B152" s="5">
        <f t="shared" si="60"/>
        <v>45</v>
      </c>
      <c r="C152" s="2">
        <v>35377</v>
      </c>
      <c r="D152" s="1">
        <v>2802</v>
      </c>
    </row>
    <row r="153" spans="1:4" x14ac:dyDescent="0.25">
      <c r="A153" s="5">
        <f t="shared" si="59"/>
        <v>1996</v>
      </c>
      <c r="B153" s="5">
        <f t="shared" si="60"/>
        <v>46</v>
      </c>
      <c r="C153" s="2">
        <v>35384</v>
      </c>
      <c r="D153" s="1">
        <v>2721</v>
      </c>
    </row>
    <row r="154" spans="1:4" x14ac:dyDescent="0.25">
      <c r="A154" s="5">
        <f t="shared" si="59"/>
        <v>1996</v>
      </c>
      <c r="B154" s="5">
        <f t="shared" si="60"/>
        <v>47</v>
      </c>
      <c r="C154" s="2">
        <v>35391</v>
      </c>
      <c r="D154" s="1">
        <v>2659</v>
      </c>
    </row>
    <row r="155" spans="1:4" x14ac:dyDescent="0.25">
      <c r="A155" s="5">
        <f t="shared" si="59"/>
        <v>1996</v>
      </c>
      <c r="B155" s="5">
        <f t="shared" si="60"/>
        <v>48</v>
      </c>
      <c r="C155" s="2">
        <v>35398</v>
      </c>
      <c r="D155" s="1">
        <v>2559</v>
      </c>
    </row>
    <row r="156" spans="1:4" x14ac:dyDescent="0.25">
      <c r="A156" s="5">
        <f t="shared" si="59"/>
        <v>1996</v>
      </c>
      <c r="B156" s="5">
        <f t="shared" si="60"/>
        <v>49</v>
      </c>
      <c r="C156" s="2">
        <v>35405</v>
      </c>
      <c r="D156" s="1">
        <v>2490</v>
      </c>
    </row>
    <row r="157" spans="1:4" x14ac:dyDescent="0.25">
      <c r="A157" s="5">
        <f t="shared" si="59"/>
        <v>1996</v>
      </c>
      <c r="B157" s="5">
        <f t="shared" si="60"/>
        <v>50</v>
      </c>
      <c r="C157" s="2">
        <v>35412</v>
      </c>
      <c r="D157" s="1">
        <v>2439</v>
      </c>
    </row>
    <row r="158" spans="1:4" x14ac:dyDescent="0.25">
      <c r="A158" s="5">
        <f t="shared" si="59"/>
        <v>1996</v>
      </c>
      <c r="B158" s="5">
        <f t="shared" si="60"/>
        <v>51</v>
      </c>
      <c r="C158" s="2">
        <v>35419</v>
      </c>
      <c r="D158" s="1">
        <v>2310</v>
      </c>
    </row>
    <row r="159" spans="1:4" x14ac:dyDescent="0.25">
      <c r="A159" s="5">
        <f t="shared" si="59"/>
        <v>1996</v>
      </c>
      <c r="B159" s="5">
        <f t="shared" si="60"/>
        <v>52</v>
      </c>
      <c r="C159" s="2">
        <v>35426</v>
      </c>
      <c r="D159" s="1">
        <v>2180</v>
      </c>
    </row>
    <row r="160" spans="1:4" x14ac:dyDescent="0.25">
      <c r="A160" s="5">
        <f t="shared" si="59"/>
        <v>1997</v>
      </c>
      <c r="B160" s="5">
        <f t="shared" si="60"/>
        <v>1</v>
      </c>
      <c r="C160" s="2">
        <v>35433</v>
      </c>
      <c r="D160" s="1">
        <v>2176</v>
      </c>
    </row>
    <row r="161" spans="1:4" x14ac:dyDescent="0.25">
      <c r="A161" s="5">
        <f t="shared" si="59"/>
        <v>1997</v>
      </c>
      <c r="B161" s="5">
        <f t="shared" si="60"/>
        <v>2</v>
      </c>
      <c r="C161" s="2">
        <v>35440</v>
      </c>
      <c r="D161" s="1">
        <v>2065</v>
      </c>
    </row>
    <row r="162" spans="1:4" x14ac:dyDescent="0.25">
      <c r="A162" s="5">
        <f t="shared" si="59"/>
        <v>1997</v>
      </c>
      <c r="B162" s="5">
        <f t="shared" si="60"/>
        <v>3</v>
      </c>
      <c r="C162" s="2">
        <v>35447</v>
      </c>
      <c r="D162" s="1">
        <v>1805</v>
      </c>
    </row>
    <row r="163" spans="1:4" x14ac:dyDescent="0.25">
      <c r="A163" s="5">
        <f t="shared" si="59"/>
        <v>1997</v>
      </c>
      <c r="B163" s="5">
        <f t="shared" si="60"/>
        <v>4</v>
      </c>
      <c r="C163" s="2">
        <v>35454</v>
      </c>
      <c r="D163" s="1">
        <v>1658</v>
      </c>
    </row>
    <row r="164" spans="1:4" x14ac:dyDescent="0.25">
      <c r="A164" s="5">
        <f t="shared" si="59"/>
        <v>1997</v>
      </c>
      <c r="B164" s="5">
        <f t="shared" si="60"/>
        <v>5</v>
      </c>
      <c r="C164" s="2">
        <v>35461</v>
      </c>
      <c r="D164" s="1">
        <v>1496</v>
      </c>
    </row>
    <row r="165" spans="1:4" x14ac:dyDescent="0.25">
      <c r="A165" s="5">
        <f t="shared" si="59"/>
        <v>1997</v>
      </c>
      <c r="B165" s="5">
        <f t="shared" si="60"/>
        <v>6</v>
      </c>
      <c r="C165" s="2">
        <v>35468</v>
      </c>
      <c r="D165" s="1">
        <v>1428</v>
      </c>
    </row>
    <row r="166" spans="1:4" x14ac:dyDescent="0.25">
      <c r="A166" s="5">
        <f t="shared" si="59"/>
        <v>1997</v>
      </c>
      <c r="B166" s="5">
        <f t="shared" si="60"/>
        <v>7</v>
      </c>
      <c r="C166" s="2">
        <v>35475</v>
      </c>
      <c r="D166" s="1">
        <v>1277</v>
      </c>
    </row>
    <row r="167" spans="1:4" x14ac:dyDescent="0.25">
      <c r="A167" s="5">
        <f t="shared" si="59"/>
        <v>1997</v>
      </c>
      <c r="B167" s="5">
        <f t="shared" si="60"/>
        <v>8</v>
      </c>
      <c r="C167" s="2">
        <v>35482</v>
      </c>
      <c r="D167" s="1">
        <v>1214</v>
      </c>
    </row>
    <row r="168" spans="1:4" x14ac:dyDescent="0.25">
      <c r="A168" s="5">
        <f t="shared" si="59"/>
        <v>1997</v>
      </c>
      <c r="B168" s="5">
        <f t="shared" si="60"/>
        <v>9</v>
      </c>
      <c r="C168" s="2">
        <v>35489</v>
      </c>
      <c r="D168" s="1">
        <v>1139</v>
      </c>
    </row>
    <row r="169" spans="1:4" x14ac:dyDescent="0.25">
      <c r="A169" s="5">
        <f t="shared" si="59"/>
        <v>1997</v>
      </c>
      <c r="B169" s="5">
        <f t="shared" si="60"/>
        <v>10</v>
      </c>
      <c r="C169" s="2">
        <v>35496</v>
      </c>
      <c r="D169" s="1">
        <v>1086</v>
      </c>
    </row>
    <row r="170" spans="1:4" x14ac:dyDescent="0.25">
      <c r="A170" s="5">
        <f t="shared" si="59"/>
        <v>1997</v>
      </c>
      <c r="B170" s="5">
        <f t="shared" si="60"/>
        <v>11</v>
      </c>
      <c r="C170" s="2">
        <v>35503</v>
      </c>
      <c r="D170" s="1">
        <v>1039</v>
      </c>
    </row>
    <row r="171" spans="1:4" x14ac:dyDescent="0.25">
      <c r="A171" s="5">
        <f t="shared" si="59"/>
        <v>1997</v>
      </c>
      <c r="B171" s="5">
        <f t="shared" si="60"/>
        <v>12</v>
      </c>
      <c r="C171" s="2">
        <v>35510</v>
      </c>
      <c r="D171" s="1">
        <v>977</v>
      </c>
    </row>
    <row r="172" spans="1:4" x14ac:dyDescent="0.25">
      <c r="A172" s="5">
        <f t="shared" si="59"/>
        <v>1997</v>
      </c>
      <c r="B172" s="5">
        <f t="shared" si="60"/>
        <v>13</v>
      </c>
      <c r="C172" s="2">
        <v>35517</v>
      </c>
      <c r="D172" s="1">
        <v>977</v>
      </c>
    </row>
    <row r="173" spans="1:4" x14ac:dyDescent="0.25">
      <c r="A173" s="5">
        <f t="shared" si="59"/>
        <v>1997</v>
      </c>
      <c r="B173" s="5">
        <f t="shared" si="60"/>
        <v>14</v>
      </c>
      <c r="C173" s="2">
        <v>35524</v>
      </c>
      <c r="D173" s="1">
        <v>1004</v>
      </c>
    </row>
    <row r="174" spans="1:4" x14ac:dyDescent="0.25">
      <c r="A174" s="5">
        <f t="shared" si="59"/>
        <v>1997</v>
      </c>
      <c r="B174" s="5">
        <f t="shared" si="60"/>
        <v>15</v>
      </c>
      <c r="C174" s="2">
        <v>35531</v>
      </c>
      <c r="D174" s="1">
        <v>982</v>
      </c>
    </row>
    <row r="175" spans="1:4" x14ac:dyDescent="0.25">
      <c r="A175" s="5">
        <f t="shared" si="59"/>
        <v>1997</v>
      </c>
      <c r="B175" s="5">
        <f t="shared" si="60"/>
        <v>16</v>
      </c>
      <c r="C175" s="2">
        <v>35538</v>
      </c>
      <c r="D175" s="1">
        <v>977</v>
      </c>
    </row>
    <row r="176" spans="1:4" x14ac:dyDescent="0.25">
      <c r="A176" s="5">
        <f t="shared" si="59"/>
        <v>1997</v>
      </c>
      <c r="B176" s="5">
        <f t="shared" si="60"/>
        <v>17</v>
      </c>
      <c r="C176" s="2">
        <v>35545</v>
      </c>
      <c r="D176" s="1">
        <v>1008</v>
      </c>
    </row>
    <row r="177" spans="1:4" x14ac:dyDescent="0.25">
      <c r="A177" s="5">
        <f t="shared" si="59"/>
        <v>1997</v>
      </c>
      <c r="B177" s="5">
        <f t="shared" si="60"/>
        <v>18</v>
      </c>
      <c r="C177" s="2">
        <v>35552</v>
      </c>
      <c r="D177" s="1">
        <v>1063</v>
      </c>
    </row>
    <row r="178" spans="1:4" x14ac:dyDescent="0.25">
      <c r="A178" s="5">
        <f t="shared" si="59"/>
        <v>1997</v>
      </c>
      <c r="B178" s="5">
        <f t="shared" si="60"/>
        <v>19</v>
      </c>
      <c r="C178" s="2">
        <v>35559</v>
      </c>
      <c r="D178" s="1">
        <v>1133</v>
      </c>
    </row>
    <row r="179" spans="1:4" x14ac:dyDescent="0.25">
      <c r="A179" s="5">
        <f t="shared" si="59"/>
        <v>1997</v>
      </c>
      <c r="B179" s="5">
        <f t="shared" si="60"/>
        <v>20</v>
      </c>
      <c r="C179" s="2">
        <v>35566</v>
      </c>
      <c r="D179" s="1">
        <v>1191</v>
      </c>
    </row>
    <row r="180" spans="1:4" x14ac:dyDescent="0.25">
      <c r="A180" s="5">
        <f t="shared" si="59"/>
        <v>1997</v>
      </c>
      <c r="B180" s="5">
        <f t="shared" si="60"/>
        <v>21</v>
      </c>
      <c r="C180" s="2">
        <v>35573</v>
      </c>
      <c r="D180" s="1">
        <v>1263</v>
      </c>
    </row>
    <row r="181" spans="1:4" x14ac:dyDescent="0.25">
      <c r="A181" s="5">
        <f t="shared" si="59"/>
        <v>1997</v>
      </c>
      <c r="B181" s="5">
        <f t="shared" si="60"/>
        <v>22</v>
      </c>
      <c r="C181" s="2">
        <v>35580</v>
      </c>
      <c r="D181" s="1">
        <v>1353</v>
      </c>
    </row>
    <row r="182" spans="1:4" x14ac:dyDescent="0.25">
      <c r="A182" s="5">
        <f t="shared" si="59"/>
        <v>1997</v>
      </c>
      <c r="B182" s="5">
        <f t="shared" si="60"/>
        <v>23</v>
      </c>
      <c r="C182" s="2">
        <v>35587</v>
      </c>
      <c r="D182" s="1">
        <v>1443</v>
      </c>
    </row>
    <row r="183" spans="1:4" x14ac:dyDescent="0.25">
      <c r="A183" s="5">
        <f t="shared" si="59"/>
        <v>1997</v>
      </c>
      <c r="B183" s="5">
        <f t="shared" si="60"/>
        <v>24</v>
      </c>
      <c r="C183" s="2">
        <v>35594</v>
      </c>
      <c r="D183" s="1">
        <v>1535</v>
      </c>
    </row>
    <row r="184" spans="1:4" x14ac:dyDescent="0.25">
      <c r="A184" s="5">
        <f t="shared" si="59"/>
        <v>1997</v>
      </c>
      <c r="B184" s="5">
        <f t="shared" si="60"/>
        <v>25</v>
      </c>
      <c r="C184" s="2">
        <v>35601</v>
      </c>
      <c r="D184" s="1">
        <v>1627</v>
      </c>
    </row>
    <row r="185" spans="1:4" x14ac:dyDescent="0.25">
      <c r="A185" s="5">
        <f t="shared" si="59"/>
        <v>1997</v>
      </c>
      <c r="B185" s="5">
        <f t="shared" si="60"/>
        <v>26</v>
      </c>
      <c r="C185" s="2">
        <v>35608</v>
      </c>
      <c r="D185" s="1">
        <v>1694</v>
      </c>
    </row>
    <row r="186" spans="1:4" x14ac:dyDescent="0.25">
      <c r="A186" s="5">
        <f t="shared" si="59"/>
        <v>1997</v>
      </c>
      <c r="B186" s="5">
        <f t="shared" si="60"/>
        <v>27</v>
      </c>
      <c r="C186" s="2">
        <v>35615</v>
      </c>
      <c r="D186" s="1">
        <v>1785</v>
      </c>
    </row>
    <row r="187" spans="1:4" x14ac:dyDescent="0.25">
      <c r="A187" s="5">
        <f t="shared" si="59"/>
        <v>1997</v>
      </c>
      <c r="B187" s="5">
        <f t="shared" si="60"/>
        <v>28</v>
      </c>
      <c r="C187" s="2">
        <v>35622</v>
      </c>
      <c r="D187" s="1">
        <v>1869</v>
      </c>
    </row>
    <row r="188" spans="1:4" x14ac:dyDescent="0.25">
      <c r="A188" s="5">
        <f t="shared" si="59"/>
        <v>1997</v>
      </c>
      <c r="B188" s="5">
        <f t="shared" si="60"/>
        <v>29</v>
      </c>
      <c r="C188" s="2">
        <v>35629</v>
      </c>
      <c r="D188" s="1">
        <v>1921</v>
      </c>
    </row>
    <row r="189" spans="1:4" x14ac:dyDescent="0.25">
      <c r="A189" s="5">
        <f t="shared" si="59"/>
        <v>1997</v>
      </c>
      <c r="B189" s="5">
        <f t="shared" si="60"/>
        <v>30</v>
      </c>
      <c r="C189" s="2">
        <v>35636</v>
      </c>
      <c r="D189" s="1">
        <v>1976</v>
      </c>
    </row>
    <row r="190" spans="1:4" x14ac:dyDescent="0.25">
      <c r="A190" s="5">
        <f t="shared" si="59"/>
        <v>1997</v>
      </c>
      <c r="B190" s="5">
        <f t="shared" si="60"/>
        <v>31</v>
      </c>
      <c r="C190" s="2">
        <v>35643</v>
      </c>
      <c r="D190" s="1">
        <v>2024</v>
      </c>
    </row>
    <row r="191" spans="1:4" x14ac:dyDescent="0.25">
      <c r="A191" s="5">
        <f t="shared" si="59"/>
        <v>1997</v>
      </c>
      <c r="B191" s="5">
        <f t="shared" si="60"/>
        <v>32</v>
      </c>
      <c r="C191" s="2">
        <v>35650</v>
      </c>
      <c r="D191" s="1">
        <v>2102</v>
      </c>
    </row>
    <row r="192" spans="1:4" x14ac:dyDescent="0.25">
      <c r="A192" s="5">
        <f t="shared" si="59"/>
        <v>1997</v>
      </c>
      <c r="B192" s="5">
        <f t="shared" si="60"/>
        <v>33</v>
      </c>
      <c r="C192" s="2">
        <v>35657</v>
      </c>
      <c r="D192" s="1">
        <v>2169</v>
      </c>
    </row>
    <row r="193" spans="1:4" x14ac:dyDescent="0.25">
      <c r="A193" s="5">
        <f t="shared" si="59"/>
        <v>1997</v>
      </c>
      <c r="B193" s="5">
        <f t="shared" si="60"/>
        <v>34</v>
      </c>
      <c r="C193" s="2">
        <v>35664</v>
      </c>
      <c r="D193" s="1">
        <v>2232</v>
      </c>
    </row>
    <row r="194" spans="1:4" x14ac:dyDescent="0.25">
      <c r="A194" s="5">
        <f t="shared" si="59"/>
        <v>1997</v>
      </c>
      <c r="B194" s="5">
        <f t="shared" si="60"/>
        <v>35</v>
      </c>
      <c r="C194" s="2">
        <v>35671</v>
      </c>
      <c r="D194" s="1">
        <v>2312</v>
      </c>
    </row>
    <row r="195" spans="1:4" x14ac:dyDescent="0.25">
      <c r="A195" s="5">
        <f t="shared" ref="A195:A258" si="61">YEAR(C195)</f>
        <v>1997</v>
      </c>
      <c r="B195" s="5">
        <f t="shared" ref="B195:B258" si="62">WEEKNUM(C195)</f>
        <v>36</v>
      </c>
      <c r="C195" s="2">
        <v>35678</v>
      </c>
      <c r="D195" s="1">
        <v>2402</v>
      </c>
    </row>
    <row r="196" spans="1:4" x14ac:dyDescent="0.25">
      <c r="A196" s="5">
        <f t="shared" si="61"/>
        <v>1997</v>
      </c>
      <c r="B196" s="5">
        <f t="shared" si="62"/>
        <v>37</v>
      </c>
      <c r="C196" s="2">
        <v>35685</v>
      </c>
      <c r="D196" s="1">
        <v>2484</v>
      </c>
    </row>
    <row r="197" spans="1:4" x14ac:dyDescent="0.25">
      <c r="A197" s="5">
        <f t="shared" si="61"/>
        <v>1997</v>
      </c>
      <c r="B197" s="5">
        <f t="shared" si="62"/>
        <v>38</v>
      </c>
      <c r="C197" s="2">
        <v>35692</v>
      </c>
      <c r="D197" s="1">
        <v>2549</v>
      </c>
    </row>
    <row r="198" spans="1:4" x14ac:dyDescent="0.25">
      <c r="A198" s="5">
        <f t="shared" si="61"/>
        <v>1997</v>
      </c>
      <c r="B198" s="5">
        <f t="shared" si="62"/>
        <v>39</v>
      </c>
      <c r="C198" s="2">
        <v>35699</v>
      </c>
      <c r="D198" s="1">
        <v>2628</v>
      </c>
    </row>
    <row r="199" spans="1:4" x14ac:dyDescent="0.25">
      <c r="A199" s="5">
        <f t="shared" si="61"/>
        <v>1997</v>
      </c>
      <c r="B199" s="5">
        <f t="shared" si="62"/>
        <v>40</v>
      </c>
      <c r="C199" s="2">
        <v>35706</v>
      </c>
      <c r="D199" s="1">
        <v>2711</v>
      </c>
    </row>
    <row r="200" spans="1:4" x14ac:dyDescent="0.25">
      <c r="A200" s="5">
        <f t="shared" si="61"/>
        <v>1997</v>
      </c>
      <c r="B200" s="5">
        <f t="shared" si="62"/>
        <v>41</v>
      </c>
      <c r="C200" s="2">
        <v>35713</v>
      </c>
      <c r="D200" s="1">
        <v>2792</v>
      </c>
    </row>
    <row r="201" spans="1:4" x14ac:dyDescent="0.25">
      <c r="A201" s="5">
        <f t="shared" si="61"/>
        <v>1997</v>
      </c>
      <c r="B201" s="5">
        <f t="shared" si="62"/>
        <v>42</v>
      </c>
      <c r="C201" s="2">
        <v>35720</v>
      </c>
      <c r="D201" s="1">
        <v>2858</v>
      </c>
    </row>
    <row r="202" spans="1:4" x14ac:dyDescent="0.25">
      <c r="A202" s="5">
        <f t="shared" si="61"/>
        <v>1997</v>
      </c>
      <c r="B202" s="5">
        <f t="shared" si="62"/>
        <v>43</v>
      </c>
      <c r="C202" s="2">
        <v>35727</v>
      </c>
      <c r="D202" s="1">
        <v>2889</v>
      </c>
    </row>
    <row r="203" spans="1:4" x14ac:dyDescent="0.25">
      <c r="A203" s="5">
        <f t="shared" si="61"/>
        <v>1997</v>
      </c>
      <c r="B203" s="5">
        <f t="shared" si="62"/>
        <v>44</v>
      </c>
      <c r="C203" s="2">
        <v>35734</v>
      </c>
      <c r="D203" s="1">
        <v>2886</v>
      </c>
    </row>
    <row r="204" spans="1:4" x14ac:dyDescent="0.25">
      <c r="A204" s="5">
        <f t="shared" si="61"/>
        <v>1997</v>
      </c>
      <c r="B204" s="5">
        <f t="shared" si="62"/>
        <v>45</v>
      </c>
      <c r="C204" s="2">
        <v>35741</v>
      </c>
      <c r="D204" s="1">
        <v>2903</v>
      </c>
    </row>
    <row r="205" spans="1:4" x14ac:dyDescent="0.25">
      <c r="A205" s="5">
        <f t="shared" si="61"/>
        <v>1997</v>
      </c>
      <c r="B205" s="5">
        <f t="shared" si="62"/>
        <v>46</v>
      </c>
      <c r="C205" s="2">
        <v>35748</v>
      </c>
      <c r="D205" s="1">
        <v>2847</v>
      </c>
    </row>
    <row r="206" spans="1:4" x14ac:dyDescent="0.25">
      <c r="A206" s="5">
        <f t="shared" si="61"/>
        <v>1997</v>
      </c>
      <c r="B206" s="5">
        <f t="shared" si="62"/>
        <v>47</v>
      </c>
      <c r="C206" s="2">
        <v>35755</v>
      </c>
      <c r="D206" s="1">
        <v>2746</v>
      </c>
    </row>
    <row r="207" spans="1:4" x14ac:dyDescent="0.25">
      <c r="A207" s="5">
        <f t="shared" si="61"/>
        <v>1997</v>
      </c>
      <c r="B207" s="5">
        <f t="shared" si="62"/>
        <v>48</v>
      </c>
      <c r="C207" s="2">
        <v>35762</v>
      </c>
      <c r="D207" s="1">
        <v>2717</v>
      </c>
    </row>
    <row r="208" spans="1:4" x14ac:dyDescent="0.25">
      <c r="A208" s="5">
        <f t="shared" si="61"/>
        <v>1997</v>
      </c>
      <c r="B208" s="5">
        <f t="shared" si="62"/>
        <v>49</v>
      </c>
      <c r="C208" s="2">
        <v>35769</v>
      </c>
      <c r="D208" s="1">
        <v>2649</v>
      </c>
    </row>
    <row r="209" spans="1:4" x14ac:dyDescent="0.25">
      <c r="A209" s="5">
        <f t="shared" si="61"/>
        <v>1997</v>
      </c>
      <c r="B209" s="5">
        <f t="shared" si="62"/>
        <v>50</v>
      </c>
      <c r="C209" s="2">
        <v>35776</v>
      </c>
      <c r="D209" s="1">
        <v>2509</v>
      </c>
    </row>
    <row r="210" spans="1:4" x14ac:dyDescent="0.25">
      <c r="A210" s="5">
        <f t="shared" si="61"/>
        <v>1997</v>
      </c>
      <c r="B210" s="5">
        <f t="shared" si="62"/>
        <v>51</v>
      </c>
      <c r="C210" s="2">
        <v>35783</v>
      </c>
      <c r="D210" s="1">
        <v>2371</v>
      </c>
    </row>
    <row r="211" spans="1:4" x14ac:dyDescent="0.25">
      <c r="A211" s="5">
        <f t="shared" si="61"/>
        <v>1997</v>
      </c>
      <c r="B211" s="5">
        <f t="shared" si="62"/>
        <v>52</v>
      </c>
      <c r="C211" s="2">
        <v>35790</v>
      </c>
      <c r="D211" s="1">
        <v>2271</v>
      </c>
    </row>
    <row r="212" spans="1:4" x14ac:dyDescent="0.25">
      <c r="A212" s="5">
        <f t="shared" si="61"/>
        <v>1998</v>
      </c>
      <c r="B212" s="5">
        <f t="shared" si="62"/>
        <v>1</v>
      </c>
      <c r="C212" s="2">
        <v>35797</v>
      </c>
      <c r="D212" s="1">
        <v>2140</v>
      </c>
    </row>
    <row r="213" spans="1:4" x14ac:dyDescent="0.25">
      <c r="A213" s="5">
        <f t="shared" si="61"/>
        <v>1998</v>
      </c>
      <c r="B213" s="5">
        <f t="shared" si="62"/>
        <v>2</v>
      </c>
      <c r="C213" s="2">
        <v>35804</v>
      </c>
      <c r="D213" s="1">
        <v>2111</v>
      </c>
    </row>
    <row r="214" spans="1:4" x14ac:dyDescent="0.25">
      <c r="A214" s="5">
        <f t="shared" si="61"/>
        <v>1998</v>
      </c>
      <c r="B214" s="5">
        <f t="shared" si="62"/>
        <v>3</v>
      </c>
      <c r="C214" s="2">
        <v>35811</v>
      </c>
      <c r="D214" s="1">
        <v>1957</v>
      </c>
    </row>
    <row r="215" spans="1:4" x14ac:dyDescent="0.25">
      <c r="A215" s="5">
        <f t="shared" si="61"/>
        <v>1998</v>
      </c>
      <c r="B215" s="5">
        <f t="shared" si="62"/>
        <v>4</v>
      </c>
      <c r="C215" s="2">
        <v>35818</v>
      </c>
      <c r="D215" s="1">
        <v>1823</v>
      </c>
    </row>
    <row r="216" spans="1:4" x14ac:dyDescent="0.25">
      <c r="A216" s="5">
        <f t="shared" si="61"/>
        <v>1998</v>
      </c>
      <c r="B216" s="5">
        <f t="shared" si="62"/>
        <v>5</v>
      </c>
      <c r="C216" s="2">
        <v>35825</v>
      </c>
      <c r="D216" s="1">
        <v>1724</v>
      </c>
    </row>
    <row r="217" spans="1:4" x14ac:dyDescent="0.25">
      <c r="A217" s="5">
        <f t="shared" si="61"/>
        <v>1998</v>
      </c>
      <c r="B217" s="5">
        <f t="shared" si="62"/>
        <v>6</v>
      </c>
      <c r="C217" s="2">
        <v>35832</v>
      </c>
      <c r="D217" s="1">
        <v>1643</v>
      </c>
    </row>
    <row r="218" spans="1:4" x14ac:dyDescent="0.25">
      <c r="A218" s="5">
        <f t="shared" si="61"/>
        <v>1998</v>
      </c>
      <c r="B218" s="5">
        <f t="shared" si="62"/>
        <v>7</v>
      </c>
      <c r="C218" s="2">
        <v>35839</v>
      </c>
      <c r="D218" s="1">
        <v>1554</v>
      </c>
    </row>
    <row r="219" spans="1:4" x14ac:dyDescent="0.25">
      <c r="A219" s="5">
        <f t="shared" si="61"/>
        <v>1998</v>
      </c>
      <c r="B219" s="5">
        <f t="shared" si="62"/>
        <v>8</v>
      </c>
      <c r="C219" s="2">
        <v>35846</v>
      </c>
      <c r="D219" s="1">
        <v>1477</v>
      </c>
    </row>
    <row r="220" spans="1:4" x14ac:dyDescent="0.25">
      <c r="A220" s="5">
        <f t="shared" si="61"/>
        <v>1998</v>
      </c>
      <c r="B220" s="5">
        <f t="shared" si="62"/>
        <v>9</v>
      </c>
      <c r="C220" s="2">
        <v>35853</v>
      </c>
      <c r="D220" s="1">
        <v>1434</v>
      </c>
    </row>
    <row r="221" spans="1:4" x14ac:dyDescent="0.25">
      <c r="A221" s="5">
        <f t="shared" si="61"/>
        <v>1998</v>
      </c>
      <c r="B221" s="5">
        <f t="shared" si="62"/>
        <v>10</v>
      </c>
      <c r="C221" s="2">
        <v>35860</v>
      </c>
      <c r="D221" s="1">
        <v>1388</v>
      </c>
    </row>
    <row r="222" spans="1:4" x14ac:dyDescent="0.25">
      <c r="A222" s="5">
        <f t="shared" si="61"/>
        <v>1998</v>
      </c>
      <c r="B222" s="5">
        <f t="shared" si="62"/>
        <v>11</v>
      </c>
      <c r="C222" s="2">
        <v>35867</v>
      </c>
      <c r="D222" s="1">
        <v>1239</v>
      </c>
    </row>
    <row r="223" spans="1:4" x14ac:dyDescent="0.25">
      <c r="A223" s="5">
        <f t="shared" si="61"/>
        <v>1998</v>
      </c>
      <c r="B223" s="5">
        <f t="shared" si="62"/>
        <v>12</v>
      </c>
      <c r="C223" s="2">
        <v>35874</v>
      </c>
      <c r="D223" s="1">
        <v>1156</v>
      </c>
    </row>
    <row r="224" spans="1:4" x14ac:dyDescent="0.25">
      <c r="A224" s="5">
        <f t="shared" si="61"/>
        <v>1998</v>
      </c>
      <c r="B224" s="5">
        <f t="shared" si="62"/>
        <v>13</v>
      </c>
      <c r="C224" s="2">
        <v>35881</v>
      </c>
      <c r="D224" s="1">
        <v>1138</v>
      </c>
    </row>
    <row r="225" spans="1:4" x14ac:dyDescent="0.25">
      <c r="A225" s="5">
        <f t="shared" si="61"/>
        <v>1998</v>
      </c>
      <c r="B225" s="5">
        <f t="shared" si="62"/>
        <v>14</v>
      </c>
      <c r="C225" s="2">
        <v>35888</v>
      </c>
      <c r="D225" s="1">
        <v>1206</v>
      </c>
    </row>
    <row r="226" spans="1:4" x14ac:dyDescent="0.25">
      <c r="A226" s="5">
        <f t="shared" si="61"/>
        <v>1998</v>
      </c>
      <c r="B226" s="5">
        <f t="shared" si="62"/>
        <v>15</v>
      </c>
      <c r="C226" s="2">
        <v>35895</v>
      </c>
      <c r="D226" s="1">
        <v>1218</v>
      </c>
    </row>
    <row r="227" spans="1:4" x14ac:dyDescent="0.25">
      <c r="A227" s="5">
        <f t="shared" si="61"/>
        <v>1998</v>
      </c>
      <c r="B227" s="5">
        <f t="shared" si="62"/>
        <v>16</v>
      </c>
      <c r="C227" s="2">
        <v>35902</v>
      </c>
      <c r="D227" s="1">
        <v>1269</v>
      </c>
    </row>
    <row r="228" spans="1:4" x14ac:dyDescent="0.25">
      <c r="A228" s="5">
        <f t="shared" si="61"/>
        <v>1998</v>
      </c>
      <c r="B228" s="5">
        <f t="shared" si="62"/>
        <v>17</v>
      </c>
      <c r="C228" s="2">
        <v>35909</v>
      </c>
      <c r="D228" s="1">
        <v>1326</v>
      </c>
    </row>
    <row r="229" spans="1:4" x14ac:dyDescent="0.25">
      <c r="A229" s="5">
        <f t="shared" si="61"/>
        <v>1998</v>
      </c>
      <c r="B229" s="5">
        <f t="shared" si="62"/>
        <v>18</v>
      </c>
      <c r="C229" s="2">
        <v>35916</v>
      </c>
      <c r="D229" s="1">
        <v>1396</v>
      </c>
    </row>
    <row r="230" spans="1:4" x14ac:dyDescent="0.25">
      <c r="A230" s="5">
        <f t="shared" si="61"/>
        <v>1998</v>
      </c>
      <c r="B230" s="5">
        <f t="shared" si="62"/>
        <v>19</v>
      </c>
      <c r="C230" s="2">
        <v>35923</v>
      </c>
      <c r="D230" s="1">
        <v>1490</v>
      </c>
    </row>
    <row r="231" spans="1:4" x14ac:dyDescent="0.25">
      <c r="A231" s="5">
        <f t="shared" si="61"/>
        <v>1998</v>
      </c>
      <c r="B231" s="5">
        <f t="shared" si="62"/>
        <v>20</v>
      </c>
      <c r="C231" s="2">
        <v>35930</v>
      </c>
      <c r="D231" s="1">
        <v>1575</v>
      </c>
    </row>
    <row r="232" spans="1:4" x14ac:dyDescent="0.25">
      <c r="A232" s="5">
        <f t="shared" si="61"/>
        <v>1998</v>
      </c>
      <c r="B232" s="5">
        <f t="shared" si="62"/>
        <v>21</v>
      </c>
      <c r="C232" s="2">
        <v>35937</v>
      </c>
      <c r="D232" s="1">
        <v>1658</v>
      </c>
    </row>
    <row r="233" spans="1:4" x14ac:dyDescent="0.25">
      <c r="A233" s="5">
        <f t="shared" si="61"/>
        <v>1998</v>
      </c>
      <c r="B233" s="5">
        <f t="shared" si="62"/>
        <v>22</v>
      </c>
      <c r="C233" s="2">
        <v>35944</v>
      </c>
      <c r="D233" s="1">
        <v>1753</v>
      </c>
    </row>
    <row r="234" spans="1:4" x14ac:dyDescent="0.25">
      <c r="A234" s="5">
        <f t="shared" si="61"/>
        <v>1998</v>
      </c>
      <c r="B234" s="5">
        <f t="shared" si="62"/>
        <v>23</v>
      </c>
      <c r="C234" s="2">
        <v>35951</v>
      </c>
      <c r="D234" s="1">
        <v>1832</v>
      </c>
    </row>
    <row r="235" spans="1:4" x14ac:dyDescent="0.25">
      <c r="A235" s="5">
        <f t="shared" si="61"/>
        <v>1998</v>
      </c>
      <c r="B235" s="5">
        <f t="shared" si="62"/>
        <v>24</v>
      </c>
      <c r="C235" s="2">
        <v>35958</v>
      </c>
      <c r="D235" s="1">
        <v>1932</v>
      </c>
    </row>
    <row r="236" spans="1:4" x14ac:dyDescent="0.25">
      <c r="A236" s="5">
        <f t="shared" si="61"/>
        <v>1998</v>
      </c>
      <c r="B236" s="5">
        <f t="shared" si="62"/>
        <v>25</v>
      </c>
      <c r="C236" s="2">
        <v>35965</v>
      </c>
      <c r="D236" s="1">
        <v>2010</v>
      </c>
    </row>
    <row r="237" spans="1:4" x14ac:dyDescent="0.25">
      <c r="A237" s="5">
        <f t="shared" si="61"/>
        <v>1998</v>
      </c>
      <c r="B237" s="5">
        <f t="shared" si="62"/>
        <v>26</v>
      </c>
      <c r="C237" s="2">
        <v>35972</v>
      </c>
      <c r="D237" s="1">
        <v>2075</v>
      </c>
    </row>
    <row r="238" spans="1:4" x14ac:dyDescent="0.25">
      <c r="A238" s="5">
        <f t="shared" si="61"/>
        <v>1998</v>
      </c>
      <c r="B238" s="5">
        <f t="shared" si="62"/>
        <v>27</v>
      </c>
      <c r="C238" s="2">
        <v>35979</v>
      </c>
      <c r="D238" s="1">
        <v>2143</v>
      </c>
    </row>
    <row r="239" spans="1:4" x14ac:dyDescent="0.25">
      <c r="A239" s="5">
        <f t="shared" si="61"/>
        <v>1998</v>
      </c>
      <c r="B239" s="5">
        <f t="shared" si="62"/>
        <v>28</v>
      </c>
      <c r="C239" s="2">
        <v>35986</v>
      </c>
      <c r="D239" s="1">
        <v>2231</v>
      </c>
    </row>
    <row r="240" spans="1:4" x14ac:dyDescent="0.25">
      <c r="A240" s="5">
        <f t="shared" si="61"/>
        <v>1998</v>
      </c>
      <c r="B240" s="5">
        <f t="shared" si="62"/>
        <v>29</v>
      </c>
      <c r="C240" s="2">
        <v>35993</v>
      </c>
      <c r="D240" s="1">
        <v>2306</v>
      </c>
    </row>
    <row r="241" spans="1:4" x14ac:dyDescent="0.25">
      <c r="A241" s="5">
        <f t="shared" si="61"/>
        <v>1998</v>
      </c>
      <c r="B241" s="5">
        <f t="shared" si="62"/>
        <v>30</v>
      </c>
      <c r="C241" s="2">
        <v>36000</v>
      </c>
      <c r="D241" s="1">
        <v>2366</v>
      </c>
    </row>
    <row r="242" spans="1:4" x14ac:dyDescent="0.25">
      <c r="A242" s="5">
        <f t="shared" si="61"/>
        <v>1998</v>
      </c>
      <c r="B242" s="5">
        <f t="shared" si="62"/>
        <v>31</v>
      </c>
      <c r="C242" s="2">
        <v>36007</v>
      </c>
      <c r="D242" s="1">
        <v>2428</v>
      </c>
    </row>
    <row r="243" spans="1:4" x14ac:dyDescent="0.25">
      <c r="A243" s="5">
        <f t="shared" si="61"/>
        <v>1998</v>
      </c>
      <c r="B243" s="5">
        <f t="shared" si="62"/>
        <v>32</v>
      </c>
      <c r="C243" s="2">
        <v>36014</v>
      </c>
      <c r="D243" s="1">
        <v>2499</v>
      </c>
    </row>
    <row r="244" spans="1:4" x14ac:dyDescent="0.25">
      <c r="A244" s="5">
        <f t="shared" si="61"/>
        <v>1998</v>
      </c>
      <c r="B244" s="5">
        <f t="shared" si="62"/>
        <v>33</v>
      </c>
      <c r="C244" s="2">
        <v>36021</v>
      </c>
      <c r="D244" s="1">
        <v>2568</v>
      </c>
    </row>
    <row r="245" spans="1:4" x14ac:dyDescent="0.25">
      <c r="A245" s="5">
        <f t="shared" si="61"/>
        <v>1998</v>
      </c>
      <c r="B245" s="5">
        <f t="shared" si="62"/>
        <v>34</v>
      </c>
      <c r="C245" s="2">
        <v>36028</v>
      </c>
      <c r="D245" s="1">
        <v>2634</v>
      </c>
    </row>
    <row r="246" spans="1:4" x14ac:dyDescent="0.25">
      <c r="A246" s="5">
        <f t="shared" si="61"/>
        <v>1998</v>
      </c>
      <c r="B246" s="5">
        <f t="shared" si="62"/>
        <v>35</v>
      </c>
      <c r="C246" s="2">
        <v>36035</v>
      </c>
      <c r="D246" s="1">
        <v>2685</v>
      </c>
    </row>
    <row r="247" spans="1:4" x14ac:dyDescent="0.25">
      <c r="A247" s="5">
        <f t="shared" si="61"/>
        <v>1998</v>
      </c>
      <c r="B247" s="5">
        <f t="shared" si="62"/>
        <v>36</v>
      </c>
      <c r="C247" s="2">
        <v>36042</v>
      </c>
      <c r="D247" s="1">
        <v>2721</v>
      </c>
    </row>
    <row r="248" spans="1:4" x14ac:dyDescent="0.25">
      <c r="A248" s="5">
        <f t="shared" si="61"/>
        <v>1998</v>
      </c>
      <c r="B248" s="5">
        <f t="shared" si="62"/>
        <v>37</v>
      </c>
      <c r="C248" s="2">
        <v>36049</v>
      </c>
      <c r="D248" s="1">
        <v>2795</v>
      </c>
    </row>
    <row r="249" spans="1:4" x14ac:dyDescent="0.25">
      <c r="A249" s="5">
        <f t="shared" si="61"/>
        <v>1998</v>
      </c>
      <c r="B249" s="5">
        <f t="shared" si="62"/>
        <v>38</v>
      </c>
      <c r="C249" s="2">
        <v>36056</v>
      </c>
      <c r="D249" s="1">
        <v>2850</v>
      </c>
    </row>
    <row r="250" spans="1:4" x14ac:dyDescent="0.25">
      <c r="A250" s="5">
        <f t="shared" si="61"/>
        <v>1998</v>
      </c>
      <c r="B250" s="5">
        <f t="shared" si="62"/>
        <v>39</v>
      </c>
      <c r="C250" s="2">
        <v>36063</v>
      </c>
      <c r="D250" s="1">
        <v>2896</v>
      </c>
    </row>
    <row r="251" spans="1:4" x14ac:dyDescent="0.25">
      <c r="A251" s="5">
        <f t="shared" si="61"/>
        <v>1998</v>
      </c>
      <c r="B251" s="5">
        <f t="shared" si="62"/>
        <v>40</v>
      </c>
      <c r="C251" s="2">
        <v>36070</v>
      </c>
      <c r="D251" s="1">
        <v>2943</v>
      </c>
    </row>
    <row r="252" spans="1:4" x14ac:dyDescent="0.25">
      <c r="A252" s="5">
        <f t="shared" si="61"/>
        <v>1998</v>
      </c>
      <c r="B252" s="5">
        <f t="shared" si="62"/>
        <v>41</v>
      </c>
      <c r="C252" s="2">
        <v>36077</v>
      </c>
      <c r="D252" s="1">
        <v>2999</v>
      </c>
    </row>
    <row r="253" spans="1:4" x14ac:dyDescent="0.25">
      <c r="A253" s="5">
        <f t="shared" si="61"/>
        <v>1998</v>
      </c>
      <c r="B253" s="5">
        <f t="shared" si="62"/>
        <v>42</v>
      </c>
      <c r="C253" s="2">
        <v>36084</v>
      </c>
      <c r="D253" s="1">
        <v>3072</v>
      </c>
    </row>
    <row r="254" spans="1:4" x14ac:dyDescent="0.25">
      <c r="A254" s="5">
        <f t="shared" si="61"/>
        <v>1998</v>
      </c>
      <c r="B254" s="5">
        <f t="shared" si="62"/>
        <v>43</v>
      </c>
      <c r="C254" s="2">
        <v>36091</v>
      </c>
      <c r="D254" s="1">
        <v>3121</v>
      </c>
    </row>
    <row r="255" spans="1:4" x14ac:dyDescent="0.25">
      <c r="A255" s="5">
        <f t="shared" si="61"/>
        <v>1998</v>
      </c>
      <c r="B255" s="5">
        <f t="shared" si="62"/>
        <v>44</v>
      </c>
      <c r="C255" s="2">
        <v>36098</v>
      </c>
      <c r="D255" s="1">
        <v>3185</v>
      </c>
    </row>
    <row r="256" spans="1:4" x14ac:dyDescent="0.25">
      <c r="A256" s="5">
        <f t="shared" si="61"/>
        <v>1998</v>
      </c>
      <c r="B256" s="5">
        <f t="shared" si="62"/>
        <v>45</v>
      </c>
      <c r="C256" s="2">
        <v>36105</v>
      </c>
      <c r="D256" s="1">
        <v>3213</v>
      </c>
    </row>
    <row r="257" spans="1:4" x14ac:dyDescent="0.25">
      <c r="A257" s="5">
        <f t="shared" si="61"/>
        <v>1998</v>
      </c>
      <c r="B257" s="5">
        <f t="shared" si="62"/>
        <v>46</v>
      </c>
      <c r="C257" s="2">
        <v>36112</v>
      </c>
      <c r="D257" s="1">
        <v>3163</v>
      </c>
    </row>
    <row r="258" spans="1:4" x14ac:dyDescent="0.25">
      <c r="A258" s="5">
        <f t="shared" si="61"/>
        <v>1998</v>
      </c>
      <c r="B258" s="5">
        <f t="shared" si="62"/>
        <v>47</v>
      </c>
      <c r="C258" s="2">
        <v>36119</v>
      </c>
      <c r="D258" s="1">
        <v>3144</v>
      </c>
    </row>
    <row r="259" spans="1:4" x14ac:dyDescent="0.25">
      <c r="A259" s="5">
        <f t="shared" ref="A259:A322" si="63">YEAR(C259)</f>
        <v>1998</v>
      </c>
      <c r="B259" s="5">
        <f t="shared" ref="B259:B322" si="64">WEEKNUM(C259)</f>
        <v>48</v>
      </c>
      <c r="C259" s="2">
        <v>36126</v>
      </c>
      <c r="D259" s="1">
        <v>3145</v>
      </c>
    </row>
    <row r="260" spans="1:4" x14ac:dyDescent="0.25">
      <c r="A260" s="5">
        <f t="shared" si="63"/>
        <v>1998</v>
      </c>
      <c r="B260" s="5">
        <f t="shared" si="64"/>
        <v>49</v>
      </c>
      <c r="C260" s="2">
        <v>36133</v>
      </c>
      <c r="D260" s="1">
        <v>3172</v>
      </c>
    </row>
    <row r="261" spans="1:4" x14ac:dyDescent="0.25">
      <c r="A261" s="5">
        <f t="shared" si="63"/>
        <v>1998</v>
      </c>
      <c r="B261" s="5">
        <f t="shared" si="64"/>
        <v>50</v>
      </c>
      <c r="C261" s="2">
        <v>36140</v>
      </c>
      <c r="D261" s="1">
        <v>3125</v>
      </c>
    </row>
    <row r="262" spans="1:4" x14ac:dyDescent="0.25">
      <c r="A262" s="5">
        <f t="shared" si="63"/>
        <v>1998</v>
      </c>
      <c r="B262" s="5">
        <f t="shared" si="64"/>
        <v>51</v>
      </c>
      <c r="C262" s="2">
        <v>36147</v>
      </c>
      <c r="D262" s="1">
        <v>3038</v>
      </c>
    </row>
    <row r="263" spans="1:4" x14ac:dyDescent="0.25">
      <c r="A263" s="5">
        <f t="shared" si="63"/>
        <v>1998</v>
      </c>
      <c r="B263" s="5">
        <f t="shared" si="64"/>
        <v>52</v>
      </c>
      <c r="C263" s="2">
        <v>36154</v>
      </c>
      <c r="D263" s="1">
        <v>2870</v>
      </c>
    </row>
    <row r="264" spans="1:4" x14ac:dyDescent="0.25">
      <c r="A264" s="5">
        <f t="shared" si="63"/>
        <v>1999</v>
      </c>
      <c r="B264" s="5">
        <f t="shared" si="64"/>
        <v>1</v>
      </c>
      <c r="C264" s="2">
        <v>36161</v>
      </c>
      <c r="D264" s="1">
        <v>2707</v>
      </c>
    </row>
    <row r="265" spans="1:4" x14ac:dyDescent="0.25">
      <c r="A265" s="5">
        <f t="shared" si="63"/>
        <v>1999</v>
      </c>
      <c r="B265" s="5">
        <f t="shared" si="64"/>
        <v>2</v>
      </c>
      <c r="C265" s="2">
        <v>36168</v>
      </c>
      <c r="D265" s="1">
        <v>2472</v>
      </c>
    </row>
    <row r="266" spans="1:4" x14ac:dyDescent="0.25">
      <c r="A266" s="5">
        <f t="shared" si="63"/>
        <v>1999</v>
      </c>
      <c r="B266" s="5">
        <f t="shared" si="64"/>
        <v>3</v>
      </c>
      <c r="C266" s="2">
        <v>36175</v>
      </c>
      <c r="D266" s="1">
        <v>2265</v>
      </c>
    </row>
    <row r="267" spans="1:4" x14ac:dyDescent="0.25">
      <c r="A267" s="5">
        <f t="shared" si="63"/>
        <v>1999</v>
      </c>
      <c r="B267" s="5">
        <f t="shared" si="64"/>
        <v>4</v>
      </c>
      <c r="C267" s="2">
        <v>36182</v>
      </c>
      <c r="D267" s="1">
        <v>2173</v>
      </c>
    </row>
    <row r="268" spans="1:4" x14ac:dyDescent="0.25">
      <c r="A268" s="5">
        <f t="shared" si="63"/>
        <v>1999</v>
      </c>
      <c r="B268" s="5">
        <f t="shared" si="64"/>
        <v>5</v>
      </c>
      <c r="C268" s="2">
        <v>36189</v>
      </c>
      <c r="D268" s="1">
        <v>2099</v>
      </c>
    </row>
    <row r="269" spans="1:4" x14ac:dyDescent="0.25">
      <c r="A269" s="5">
        <f t="shared" si="63"/>
        <v>1999</v>
      </c>
      <c r="B269" s="5">
        <f t="shared" si="64"/>
        <v>6</v>
      </c>
      <c r="C269" s="2">
        <v>36196</v>
      </c>
      <c r="D269" s="1">
        <v>2017</v>
      </c>
    </row>
    <row r="270" spans="1:4" x14ac:dyDescent="0.25">
      <c r="A270" s="5">
        <f t="shared" si="63"/>
        <v>1999</v>
      </c>
      <c r="B270" s="5">
        <f t="shared" si="64"/>
        <v>7</v>
      </c>
      <c r="C270" s="2">
        <v>36203</v>
      </c>
      <c r="D270" s="1">
        <v>1976</v>
      </c>
    </row>
    <row r="271" spans="1:4" x14ac:dyDescent="0.25">
      <c r="A271" s="5">
        <f t="shared" si="63"/>
        <v>1999</v>
      </c>
      <c r="B271" s="5">
        <f t="shared" si="64"/>
        <v>8</v>
      </c>
      <c r="C271" s="2">
        <v>36210</v>
      </c>
      <c r="D271" s="1">
        <v>1888</v>
      </c>
    </row>
    <row r="272" spans="1:4" x14ac:dyDescent="0.25">
      <c r="A272" s="5">
        <f t="shared" si="63"/>
        <v>1999</v>
      </c>
      <c r="B272" s="5">
        <f t="shared" si="64"/>
        <v>9</v>
      </c>
      <c r="C272" s="2">
        <v>36217</v>
      </c>
      <c r="D272" s="1">
        <v>1763</v>
      </c>
    </row>
    <row r="273" spans="1:4" x14ac:dyDescent="0.25">
      <c r="A273" s="5">
        <f t="shared" si="63"/>
        <v>1999</v>
      </c>
      <c r="B273" s="5">
        <f t="shared" si="64"/>
        <v>10</v>
      </c>
      <c r="C273" s="2">
        <v>36224</v>
      </c>
      <c r="D273" s="1">
        <v>1689</v>
      </c>
    </row>
    <row r="274" spans="1:4" x14ac:dyDescent="0.25">
      <c r="A274" s="5">
        <f t="shared" si="63"/>
        <v>1999</v>
      </c>
      <c r="B274" s="5">
        <f t="shared" si="64"/>
        <v>11</v>
      </c>
      <c r="C274" s="2">
        <v>36231</v>
      </c>
      <c r="D274" s="1">
        <v>1542</v>
      </c>
    </row>
    <row r="275" spans="1:4" x14ac:dyDescent="0.25">
      <c r="A275" s="5">
        <f t="shared" si="63"/>
        <v>1999</v>
      </c>
      <c r="B275" s="5">
        <f t="shared" si="64"/>
        <v>12</v>
      </c>
      <c r="C275" s="2">
        <v>36238</v>
      </c>
      <c r="D275" s="1">
        <v>1446</v>
      </c>
    </row>
    <row r="276" spans="1:4" x14ac:dyDescent="0.25">
      <c r="A276" s="5">
        <f t="shared" si="63"/>
        <v>1999</v>
      </c>
      <c r="B276" s="5">
        <f t="shared" si="64"/>
        <v>13</v>
      </c>
      <c r="C276" s="2">
        <v>36245</v>
      </c>
      <c r="D276" s="1">
        <v>1403</v>
      </c>
    </row>
    <row r="277" spans="1:4" x14ac:dyDescent="0.25">
      <c r="A277" s="5">
        <f t="shared" si="63"/>
        <v>1999</v>
      </c>
      <c r="B277" s="5">
        <f t="shared" si="64"/>
        <v>14</v>
      </c>
      <c r="C277" s="2">
        <v>36252</v>
      </c>
      <c r="D277" s="1">
        <v>1407</v>
      </c>
    </row>
    <row r="278" spans="1:4" x14ac:dyDescent="0.25">
      <c r="A278" s="5">
        <f t="shared" si="63"/>
        <v>1999</v>
      </c>
      <c r="B278" s="5">
        <f t="shared" si="64"/>
        <v>15</v>
      </c>
      <c r="C278" s="2">
        <v>36259</v>
      </c>
      <c r="D278" s="1">
        <v>1447</v>
      </c>
    </row>
    <row r="279" spans="1:4" x14ac:dyDescent="0.25">
      <c r="A279" s="5">
        <f t="shared" si="63"/>
        <v>1999</v>
      </c>
      <c r="B279" s="5">
        <f t="shared" si="64"/>
        <v>16</v>
      </c>
      <c r="C279" s="2">
        <v>36266</v>
      </c>
      <c r="D279" s="1">
        <v>1452</v>
      </c>
    </row>
    <row r="280" spans="1:4" x14ac:dyDescent="0.25">
      <c r="A280" s="5">
        <f t="shared" si="63"/>
        <v>1999</v>
      </c>
      <c r="B280" s="5">
        <f t="shared" si="64"/>
        <v>17</v>
      </c>
      <c r="C280" s="2">
        <v>36273</v>
      </c>
      <c r="D280" s="1">
        <v>1457</v>
      </c>
    </row>
    <row r="281" spans="1:4" x14ac:dyDescent="0.25">
      <c r="A281" s="5">
        <f t="shared" si="63"/>
        <v>1999</v>
      </c>
      <c r="B281" s="5">
        <f t="shared" si="64"/>
        <v>18</v>
      </c>
      <c r="C281" s="2">
        <v>36280</v>
      </c>
      <c r="D281" s="1">
        <v>1495</v>
      </c>
    </row>
    <row r="282" spans="1:4" x14ac:dyDescent="0.25">
      <c r="A282" s="5">
        <f t="shared" si="63"/>
        <v>1999</v>
      </c>
      <c r="B282" s="5">
        <f t="shared" si="64"/>
        <v>19</v>
      </c>
      <c r="C282" s="2">
        <v>36287</v>
      </c>
      <c r="D282" s="1">
        <v>1571</v>
      </c>
    </row>
    <row r="283" spans="1:4" x14ac:dyDescent="0.25">
      <c r="A283" s="5">
        <f t="shared" si="63"/>
        <v>1999</v>
      </c>
      <c r="B283" s="5">
        <f t="shared" si="64"/>
        <v>20</v>
      </c>
      <c r="C283" s="2">
        <v>36294</v>
      </c>
      <c r="D283" s="1">
        <v>1651</v>
      </c>
    </row>
    <row r="284" spans="1:4" x14ac:dyDescent="0.25">
      <c r="A284" s="5">
        <f t="shared" si="63"/>
        <v>1999</v>
      </c>
      <c r="B284" s="5">
        <f t="shared" si="64"/>
        <v>21</v>
      </c>
      <c r="C284" s="2">
        <v>36301</v>
      </c>
      <c r="D284" s="1">
        <v>1726</v>
      </c>
    </row>
    <row r="285" spans="1:4" x14ac:dyDescent="0.25">
      <c r="A285" s="5">
        <f t="shared" si="63"/>
        <v>1999</v>
      </c>
      <c r="B285" s="5">
        <f t="shared" si="64"/>
        <v>22</v>
      </c>
      <c r="C285" s="2">
        <v>36308</v>
      </c>
      <c r="D285" s="1">
        <v>1796</v>
      </c>
    </row>
    <row r="286" spans="1:4" x14ac:dyDescent="0.25">
      <c r="A286" s="5">
        <f t="shared" si="63"/>
        <v>1999</v>
      </c>
      <c r="B286" s="5">
        <f t="shared" si="64"/>
        <v>23</v>
      </c>
      <c r="C286" s="2">
        <v>36315</v>
      </c>
      <c r="D286" s="1">
        <v>1885</v>
      </c>
    </row>
    <row r="287" spans="1:4" x14ac:dyDescent="0.25">
      <c r="A287" s="5">
        <f t="shared" si="63"/>
        <v>1999</v>
      </c>
      <c r="B287" s="5">
        <f t="shared" si="64"/>
        <v>24</v>
      </c>
      <c r="C287" s="2">
        <v>36322</v>
      </c>
      <c r="D287" s="1">
        <v>1941</v>
      </c>
    </row>
    <row r="288" spans="1:4" x14ac:dyDescent="0.25">
      <c r="A288" s="5">
        <f t="shared" si="63"/>
        <v>1999</v>
      </c>
      <c r="B288" s="5">
        <f t="shared" si="64"/>
        <v>25</v>
      </c>
      <c r="C288" s="2">
        <v>36329</v>
      </c>
      <c r="D288" s="1">
        <v>2020</v>
      </c>
    </row>
    <row r="289" spans="1:4" x14ac:dyDescent="0.25">
      <c r="A289" s="5">
        <f t="shared" si="63"/>
        <v>1999</v>
      </c>
      <c r="B289" s="5">
        <f t="shared" si="64"/>
        <v>26</v>
      </c>
      <c r="C289" s="2">
        <v>36336</v>
      </c>
      <c r="D289" s="1">
        <v>2106</v>
      </c>
    </row>
    <row r="290" spans="1:4" x14ac:dyDescent="0.25">
      <c r="A290" s="5">
        <f t="shared" si="63"/>
        <v>1999</v>
      </c>
      <c r="B290" s="5">
        <f t="shared" si="64"/>
        <v>27</v>
      </c>
      <c r="C290" s="2">
        <v>36343</v>
      </c>
      <c r="D290" s="1">
        <v>2169</v>
      </c>
    </row>
    <row r="291" spans="1:4" x14ac:dyDescent="0.25">
      <c r="A291" s="5">
        <f t="shared" si="63"/>
        <v>1999</v>
      </c>
      <c r="B291" s="5">
        <f t="shared" si="64"/>
        <v>28</v>
      </c>
      <c r="C291" s="2">
        <v>36350</v>
      </c>
      <c r="D291" s="1">
        <v>2228</v>
      </c>
    </row>
    <row r="292" spans="1:4" x14ac:dyDescent="0.25">
      <c r="A292" s="5">
        <f t="shared" si="63"/>
        <v>1999</v>
      </c>
      <c r="B292" s="5">
        <f t="shared" si="64"/>
        <v>29</v>
      </c>
      <c r="C292" s="2">
        <v>36357</v>
      </c>
      <c r="D292" s="1">
        <v>2308</v>
      </c>
    </row>
    <row r="293" spans="1:4" x14ac:dyDescent="0.25">
      <c r="A293" s="5">
        <f t="shared" si="63"/>
        <v>1999</v>
      </c>
      <c r="B293" s="5">
        <f t="shared" si="64"/>
        <v>30</v>
      </c>
      <c r="C293" s="2">
        <v>36364</v>
      </c>
      <c r="D293" s="1">
        <v>2348</v>
      </c>
    </row>
    <row r="294" spans="1:4" x14ac:dyDescent="0.25">
      <c r="A294" s="5">
        <f t="shared" si="63"/>
        <v>1999</v>
      </c>
      <c r="B294" s="5">
        <f t="shared" si="64"/>
        <v>31</v>
      </c>
      <c r="C294" s="2">
        <v>36371</v>
      </c>
      <c r="D294" s="1">
        <v>2373</v>
      </c>
    </row>
    <row r="295" spans="1:4" x14ac:dyDescent="0.25">
      <c r="A295" s="5">
        <f t="shared" si="63"/>
        <v>1999</v>
      </c>
      <c r="B295" s="5">
        <f t="shared" si="64"/>
        <v>32</v>
      </c>
      <c r="C295" s="2">
        <v>36378</v>
      </c>
      <c r="D295" s="1">
        <v>2414</v>
      </c>
    </row>
    <row r="296" spans="1:4" x14ac:dyDescent="0.25">
      <c r="A296" s="5">
        <f t="shared" si="63"/>
        <v>1999</v>
      </c>
      <c r="B296" s="5">
        <f t="shared" si="64"/>
        <v>33</v>
      </c>
      <c r="C296" s="2">
        <v>36385</v>
      </c>
      <c r="D296" s="1">
        <v>2461</v>
      </c>
    </row>
    <row r="297" spans="1:4" x14ac:dyDescent="0.25">
      <c r="A297" s="5">
        <f t="shared" si="63"/>
        <v>1999</v>
      </c>
      <c r="B297" s="5">
        <f t="shared" si="64"/>
        <v>34</v>
      </c>
      <c r="C297" s="2">
        <v>36392</v>
      </c>
      <c r="D297" s="1">
        <v>2508</v>
      </c>
    </row>
    <row r="298" spans="1:4" x14ac:dyDescent="0.25">
      <c r="A298" s="5">
        <f t="shared" si="63"/>
        <v>1999</v>
      </c>
      <c r="B298" s="5">
        <f t="shared" si="64"/>
        <v>35</v>
      </c>
      <c r="C298" s="2">
        <v>36399</v>
      </c>
      <c r="D298" s="1">
        <v>2575</v>
      </c>
    </row>
    <row r="299" spans="1:4" x14ac:dyDescent="0.25">
      <c r="A299" s="5">
        <f t="shared" si="63"/>
        <v>1999</v>
      </c>
      <c r="B299" s="5">
        <f t="shared" si="64"/>
        <v>36</v>
      </c>
      <c r="C299" s="2">
        <v>36406</v>
      </c>
      <c r="D299" s="1">
        <v>2638</v>
      </c>
    </row>
    <row r="300" spans="1:4" x14ac:dyDescent="0.25">
      <c r="A300" s="5">
        <f t="shared" si="63"/>
        <v>1999</v>
      </c>
      <c r="B300" s="5">
        <f t="shared" si="64"/>
        <v>37</v>
      </c>
      <c r="C300" s="2">
        <v>36413</v>
      </c>
      <c r="D300" s="1">
        <v>2718</v>
      </c>
    </row>
    <row r="301" spans="1:4" x14ac:dyDescent="0.25">
      <c r="A301" s="5">
        <f t="shared" si="63"/>
        <v>1999</v>
      </c>
      <c r="B301" s="5">
        <f t="shared" si="64"/>
        <v>38</v>
      </c>
      <c r="C301" s="2">
        <v>36420</v>
      </c>
      <c r="D301" s="1">
        <v>2794</v>
      </c>
    </row>
    <row r="302" spans="1:4" x14ac:dyDescent="0.25">
      <c r="A302" s="5">
        <f t="shared" si="63"/>
        <v>1999</v>
      </c>
      <c r="B302" s="5">
        <f t="shared" si="64"/>
        <v>39</v>
      </c>
      <c r="C302" s="2">
        <v>36427</v>
      </c>
      <c r="D302" s="1">
        <v>2871</v>
      </c>
    </row>
    <row r="303" spans="1:4" x14ac:dyDescent="0.25">
      <c r="A303" s="5">
        <f t="shared" si="63"/>
        <v>1999</v>
      </c>
      <c r="B303" s="5">
        <f t="shared" si="64"/>
        <v>40</v>
      </c>
      <c r="C303" s="2">
        <v>36434</v>
      </c>
      <c r="D303" s="1">
        <v>2933</v>
      </c>
    </row>
    <row r="304" spans="1:4" x14ac:dyDescent="0.25">
      <c r="A304" s="5">
        <f t="shared" si="63"/>
        <v>1999</v>
      </c>
      <c r="B304" s="5">
        <f t="shared" si="64"/>
        <v>41</v>
      </c>
      <c r="C304" s="2">
        <v>36441</v>
      </c>
      <c r="D304" s="1">
        <v>2989</v>
      </c>
    </row>
    <row r="305" spans="1:4" x14ac:dyDescent="0.25">
      <c r="A305" s="5">
        <f t="shared" si="63"/>
        <v>1999</v>
      </c>
      <c r="B305" s="5">
        <f t="shared" si="64"/>
        <v>42</v>
      </c>
      <c r="C305" s="2">
        <v>36448</v>
      </c>
      <c r="D305" s="1">
        <v>3038</v>
      </c>
    </row>
    <row r="306" spans="1:4" x14ac:dyDescent="0.25">
      <c r="A306" s="5">
        <f t="shared" si="63"/>
        <v>1999</v>
      </c>
      <c r="B306" s="5">
        <f t="shared" si="64"/>
        <v>43</v>
      </c>
      <c r="C306" s="2">
        <v>36455</v>
      </c>
      <c r="D306" s="1">
        <v>3058</v>
      </c>
    </row>
    <row r="307" spans="1:4" x14ac:dyDescent="0.25">
      <c r="A307" s="5">
        <f t="shared" si="63"/>
        <v>1999</v>
      </c>
      <c r="B307" s="5">
        <f t="shared" si="64"/>
        <v>44</v>
      </c>
      <c r="C307" s="2">
        <v>36462</v>
      </c>
      <c r="D307" s="1">
        <v>3068</v>
      </c>
    </row>
    <row r="308" spans="1:4" x14ac:dyDescent="0.25">
      <c r="A308" s="5">
        <f t="shared" si="63"/>
        <v>1999</v>
      </c>
      <c r="B308" s="5">
        <f t="shared" si="64"/>
        <v>45</v>
      </c>
      <c r="C308" s="2">
        <v>36469</v>
      </c>
      <c r="D308" s="1">
        <v>3088</v>
      </c>
    </row>
    <row r="309" spans="1:4" x14ac:dyDescent="0.25">
      <c r="A309" s="5">
        <f t="shared" si="63"/>
        <v>1999</v>
      </c>
      <c r="B309" s="5">
        <f t="shared" si="64"/>
        <v>46</v>
      </c>
      <c r="C309" s="2">
        <v>36476</v>
      </c>
      <c r="D309" s="1">
        <v>3105</v>
      </c>
    </row>
    <row r="310" spans="1:4" x14ac:dyDescent="0.25">
      <c r="A310" s="5">
        <f t="shared" si="63"/>
        <v>1999</v>
      </c>
      <c r="B310" s="5">
        <f t="shared" si="64"/>
        <v>47</v>
      </c>
      <c r="C310" s="2">
        <v>36483</v>
      </c>
      <c r="D310" s="1">
        <v>3090</v>
      </c>
    </row>
    <row r="311" spans="1:4" x14ac:dyDescent="0.25">
      <c r="A311" s="5">
        <f t="shared" si="63"/>
        <v>1999</v>
      </c>
      <c r="B311" s="5">
        <f t="shared" si="64"/>
        <v>48</v>
      </c>
      <c r="C311" s="2">
        <v>36490</v>
      </c>
      <c r="D311" s="1">
        <v>3103</v>
      </c>
    </row>
    <row r="312" spans="1:4" x14ac:dyDescent="0.25">
      <c r="A312" s="5">
        <f t="shared" si="63"/>
        <v>1999</v>
      </c>
      <c r="B312" s="5">
        <f t="shared" si="64"/>
        <v>49</v>
      </c>
      <c r="C312" s="2">
        <v>36497</v>
      </c>
      <c r="D312" s="1">
        <v>3035</v>
      </c>
    </row>
    <row r="313" spans="1:4" x14ac:dyDescent="0.25">
      <c r="A313" s="5">
        <f t="shared" si="63"/>
        <v>1999</v>
      </c>
      <c r="B313" s="5">
        <f t="shared" si="64"/>
        <v>50</v>
      </c>
      <c r="C313" s="2">
        <v>36504</v>
      </c>
      <c r="D313" s="1">
        <v>2962</v>
      </c>
    </row>
    <row r="314" spans="1:4" x14ac:dyDescent="0.25">
      <c r="A314" s="5">
        <f t="shared" si="63"/>
        <v>1999</v>
      </c>
      <c r="B314" s="5">
        <f t="shared" si="64"/>
        <v>51</v>
      </c>
      <c r="C314" s="2">
        <v>36511</v>
      </c>
      <c r="D314" s="1">
        <v>2843</v>
      </c>
    </row>
    <row r="315" spans="1:4" x14ac:dyDescent="0.25">
      <c r="A315" s="5">
        <f t="shared" si="63"/>
        <v>1999</v>
      </c>
      <c r="B315" s="5">
        <f t="shared" si="64"/>
        <v>52</v>
      </c>
      <c r="C315" s="2">
        <v>36518</v>
      </c>
      <c r="D315" s="1">
        <v>2663</v>
      </c>
    </row>
    <row r="316" spans="1:4" x14ac:dyDescent="0.25">
      <c r="A316" s="5">
        <f t="shared" si="63"/>
        <v>1999</v>
      </c>
      <c r="B316" s="5">
        <f t="shared" si="64"/>
        <v>53</v>
      </c>
      <c r="C316" s="2">
        <v>36525</v>
      </c>
      <c r="D316" s="1">
        <v>2523</v>
      </c>
    </row>
    <row r="317" spans="1:4" x14ac:dyDescent="0.25">
      <c r="A317" s="5">
        <f t="shared" si="63"/>
        <v>2000</v>
      </c>
      <c r="B317" s="5">
        <f t="shared" si="64"/>
        <v>2</v>
      </c>
      <c r="C317" s="2">
        <v>36532</v>
      </c>
      <c r="D317" s="1">
        <v>2418</v>
      </c>
    </row>
    <row r="318" spans="1:4" x14ac:dyDescent="0.25">
      <c r="A318" s="5">
        <f t="shared" si="63"/>
        <v>2000</v>
      </c>
      <c r="B318" s="5">
        <f t="shared" si="64"/>
        <v>3</v>
      </c>
      <c r="C318" s="2">
        <v>36539</v>
      </c>
      <c r="D318" s="1">
        <v>2310</v>
      </c>
    </row>
    <row r="319" spans="1:4" x14ac:dyDescent="0.25">
      <c r="A319" s="5">
        <f t="shared" si="63"/>
        <v>2000</v>
      </c>
      <c r="B319" s="5">
        <f t="shared" si="64"/>
        <v>4</v>
      </c>
      <c r="C319" s="2">
        <v>36546</v>
      </c>
      <c r="D319" s="1">
        <v>2109</v>
      </c>
    </row>
    <row r="320" spans="1:4" x14ac:dyDescent="0.25">
      <c r="A320" s="5">
        <f t="shared" si="63"/>
        <v>2000</v>
      </c>
      <c r="B320" s="5">
        <f t="shared" si="64"/>
        <v>5</v>
      </c>
      <c r="C320" s="2">
        <v>36553</v>
      </c>
      <c r="D320" s="1">
        <v>1856</v>
      </c>
    </row>
    <row r="321" spans="1:4" x14ac:dyDescent="0.25">
      <c r="A321" s="5">
        <f t="shared" si="63"/>
        <v>2000</v>
      </c>
      <c r="B321" s="5">
        <f t="shared" si="64"/>
        <v>6</v>
      </c>
      <c r="C321" s="2">
        <v>36560</v>
      </c>
      <c r="D321" s="1">
        <v>1647</v>
      </c>
    </row>
    <row r="322" spans="1:4" x14ac:dyDescent="0.25">
      <c r="A322" s="5">
        <f t="shared" si="63"/>
        <v>2000</v>
      </c>
      <c r="B322" s="5">
        <f t="shared" si="64"/>
        <v>7</v>
      </c>
      <c r="C322" s="2">
        <v>36567</v>
      </c>
      <c r="D322" s="1">
        <v>1504</v>
      </c>
    </row>
    <row r="323" spans="1:4" x14ac:dyDescent="0.25">
      <c r="A323" s="5">
        <f t="shared" ref="A323:A386" si="65">YEAR(C323)</f>
        <v>2000</v>
      </c>
      <c r="B323" s="5">
        <f t="shared" ref="B323:B386" si="66">WEEKNUM(C323)</f>
        <v>8</v>
      </c>
      <c r="C323" s="2">
        <v>36574</v>
      </c>
      <c r="D323" s="1">
        <v>1377</v>
      </c>
    </row>
    <row r="324" spans="1:4" x14ac:dyDescent="0.25">
      <c r="A324" s="5">
        <f t="shared" si="65"/>
        <v>2000</v>
      </c>
      <c r="B324" s="5">
        <f t="shared" si="66"/>
        <v>9</v>
      </c>
      <c r="C324" s="2">
        <v>36581</v>
      </c>
      <c r="D324" s="1">
        <v>1318</v>
      </c>
    </row>
    <row r="325" spans="1:4" x14ac:dyDescent="0.25">
      <c r="A325" s="5">
        <f t="shared" si="65"/>
        <v>2000</v>
      </c>
      <c r="B325" s="5">
        <f t="shared" si="66"/>
        <v>10</v>
      </c>
      <c r="C325" s="2">
        <v>36588</v>
      </c>
      <c r="D325" s="1">
        <v>1288</v>
      </c>
    </row>
    <row r="326" spans="1:4" x14ac:dyDescent="0.25">
      <c r="A326" s="5">
        <f t="shared" si="65"/>
        <v>2000</v>
      </c>
      <c r="B326" s="5">
        <f t="shared" si="66"/>
        <v>11</v>
      </c>
      <c r="C326" s="2">
        <v>36595</v>
      </c>
      <c r="D326" s="1">
        <v>1259</v>
      </c>
    </row>
    <row r="327" spans="1:4" x14ac:dyDescent="0.25">
      <c r="A327" s="5">
        <f t="shared" si="65"/>
        <v>2000</v>
      </c>
      <c r="B327" s="5">
        <f t="shared" si="66"/>
        <v>12</v>
      </c>
      <c r="C327" s="2">
        <v>36602</v>
      </c>
      <c r="D327" s="1">
        <v>1192</v>
      </c>
    </row>
    <row r="328" spans="1:4" x14ac:dyDescent="0.25">
      <c r="A328" s="5">
        <f t="shared" si="65"/>
        <v>2000</v>
      </c>
      <c r="B328" s="5">
        <f t="shared" si="66"/>
        <v>13</v>
      </c>
      <c r="C328" s="2">
        <v>36609</v>
      </c>
      <c r="D328" s="1">
        <v>1156</v>
      </c>
    </row>
    <row r="329" spans="1:4" x14ac:dyDescent="0.25">
      <c r="A329" s="5">
        <f t="shared" si="65"/>
        <v>2000</v>
      </c>
      <c r="B329" s="5">
        <f t="shared" si="66"/>
        <v>14</v>
      </c>
      <c r="C329" s="2">
        <v>36616</v>
      </c>
      <c r="D329" s="1">
        <v>1153</v>
      </c>
    </row>
    <row r="330" spans="1:4" x14ac:dyDescent="0.25">
      <c r="A330" s="5">
        <f t="shared" si="65"/>
        <v>2000</v>
      </c>
      <c r="B330" s="5">
        <f t="shared" si="66"/>
        <v>15</v>
      </c>
      <c r="C330" s="2">
        <v>36623</v>
      </c>
      <c r="D330" s="1">
        <v>1156</v>
      </c>
    </row>
    <row r="331" spans="1:4" x14ac:dyDescent="0.25">
      <c r="A331" s="5">
        <f t="shared" si="65"/>
        <v>2000</v>
      </c>
      <c r="B331" s="5">
        <f t="shared" si="66"/>
        <v>16</v>
      </c>
      <c r="C331" s="2">
        <v>36630</v>
      </c>
      <c r="D331" s="1">
        <v>1123</v>
      </c>
    </row>
    <row r="332" spans="1:4" x14ac:dyDescent="0.25">
      <c r="A332" s="5">
        <f t="shared" si="65"/>
        <v>2000</v>
      </c>
      <c r="B332" s="5">
        <f t="shared" si="66"/>
        <v>17</v>
      </c>
      <c r="C332" s="2">
        <v>36637</v>
      </c>
      <c r="D332" s="1">
        <v>1144</v>
      </c>
    </row>
    <row r="333" spans="1:4" x14ac:dyDescent="0.25">
      <c r="A333" s="5">
        <f t="shared" si="65"/>
        <v>2000</v>
      </c>
      <c r="B333" s="5">
        <f t="shared" si="66"/>
        <v>18</v>
      </c>
      <c r="C333" s="2">
        <v>36644</v>
      </c>
      <c r="D333" s="1">
        <v>1182</v>
      </c>
    </row>
    <row r="334" spans="1:4" x14ac:dyDescent="0.25">
      <c r="A334" s="5">
        <f t="shared" si="65"/>
        <v>2000</v>
      </c>
      <c r="B334" s="5">
        <f t="shared" si="66"/>
        <v>19</v>
      </c>
      <c r="C334" s="2">
        <v>36651</v>
      </c>
      <c r="D334" s="1">
        <v>1242</v>
      </c>
    </row>
    <row r="335" spans="1:4" x14ac:dyDescent="0.25">
      <c r="A335" s="5">
        <f t="shared" si="65"/>
        <v>2000</v>
      </c>
      <c r="B335" s="5">
        <f t="shared" si="66"/>
        <v>20</v>
      </c>
      <c r="C335" s="2">
        <v>36658</v>
      </c>
      <c r="D335" s="1">
        <v>1283</v>
      </c>
    </row>
    <row r="336" spans="1:4" x14ac:dyDescent="0.25">
      <c r="A336" s="5">
        <f t="shared" si="65"/>
        <v>2000</v>
      </c>
      <c r="B336" s="5">
        <f t="shared" si="66"/>
        <v>21</v>
      </c>
      <c r="C336" s="2">
        <v>36665</v>
      </c>
      <c r="D336" s="1">
        <v>1333</v>
      </c>
    </row>
    <row r="337" spans="1:4" x14ac:dyDescent="0.25">
      <c r="A337" s="5">
        <f t="shared" si="65"/>
        <v>2000</v>
      </c>
      <c r="B337" s="5">
        <f t="shared" si="66"/>
        <v>22</v>
      </c>
      <c r="C337" s="2">
        <v>36672</v>
      </c>
      <c r="D337" s="1">
        <v>1382</v>
      </c>
    </row>
    <row r="338" spans="1:4" x14ac:dyDescent="0.25">
      <c r="A338" s="5">
        <f t="shared" si="65"/>
        <v>2000</v>
      </c>
      <c r="B338" s="5">
        <f t="shared" si="66"/>
        <v>23</v>
      </c>
      <c r="C338" s="2">
        <v>36679</v>
      </c>
      <c r="D338" s="1">
        <v>1455</v>
      </c>
    </row>
    <row r="339" spans="1:4" x14ac:dyDescent="0.25">
      <c r="A339" s="5">
        <f t="shared" si="65"/>
        <v>2000</v>
      </c>
      <c r="B339" s="5">
        <f t="shared" si="66"/>
        <v>24</v>
      </c>
      <c r="C339" s="2">
        <v>36686</v>
      </c>
      <c r="D339" s="1">
        <v>1532</v>
      </c>
    </row>
    <row r="340" spans="1:4" x14ac:dyDescent="0.25">
      <c r="A340" s="5">
        <f t="shared" si="65"/>
        <v>2000</v>
      </c>
      <c r="B340" s="5">
        <f t="shared" si="66"/>
        <v>25</v>
      </c>
      <c r="C340" s="2">
        <v>36693</v>
      </c>
      <c r="D340" s="1">
        <v>1591</v>
      </c>
    </row>
    <row r="341" spans="1:4" x14ac:dyDescent="0.25">
      <c r="A341" s="5">
        <f t="shared" si="65"/>
        <v>2000</v>
      </c>
      <c r="B341" s="5">
        <f t="shared" si="66"/>
        <v>26</v>
      </c>
      <c r="C341" s="2">
        <v>36700</v>
      </c>
      <c r="D341" s="1">
        <v>1657</v>
      </c>
    </row>
    <row r="342" spans="1:4" x14ac:dyDescent="0.25">
      <c r="A342" s="5">
        <f t="shared" si="65"/>
        <v>2000</v>
      </c>
      <c r="B342" s="5">
        <f t="shared" si="66"/>
        <v>27</v>
      </c>
      <c r="C342" s="2">
        <v>36707</v>
      </c>
      <c r="D342" s="1">
        <v>1717</v>
      </c>
    </row>
    <row r="343" spans="1:4" x14ac:dyDescent="0.25">
      <c r="A343" s="5">
        <f t="shared" si="65"/>
        <v>2000</v>
      </c>
      <c r="B343" s="5">
        <f t="shared" si="66"/>
        <v>28</v>
      </c>
      <c r="C343" s="2">
        <v>36714</v>
      </c>
      <c r="D343" s="1">
        <v>1812</v>
      </c>
    </row>
    <row r="344" spans="1:4" x14ac:dyDescent="0.25">
      <c r="A344" s="5">
        <f t="shared" si="65"/>
        <v>2000</v>
      </c>
      <c r="B344" s="5">
        <f t="shared" si="66"/>
        <v>29</v>
      </c>
      <c r="C344" s="2">
        <v>36721</v>
      </c>
      <c r="D344" s="1">
        <v>1875</v>
      </c>
    </row>
    <row r="345" spans="1:4" x14ac:dyDescent="0.25">
      <c r="A345" s="5">
        <f t="shared" si="65"/>
        <v>2000</v>
      </c>
      <c r="B345" s="5">
        <f t="shared" si="66"/>
        <v>30</v>
      </c>
      <c r="C345" s="2">
        <v>36728</v>
      </c>
      <c r="D345" s="1">
        <v>1921</v>
      </c>
    </row>
    <row r="346" spans="1:4" x14ac:dyDescent="0.25">
      <c r="A346" s="5">
        <f t="shared" si="65"/>
        <v>2000</v>
      </c>
      <c r="B346" s="5">
        <f t="shared" si="66"/>
        <v>31</v>
      </c>
      <c r="C346" s="2">
        <v>36735</v>
      </c>
      <c r="D346" s="1">
        <v>1978</v>
      </c>
    </row>
    <row r="347" spans="1:4" x14ac:dyDescent="0.25">
      <c r="A347" s="5">
        <f t="shared" si="65"/>
        <v>2000</v>
      </c>
      <c r="B347" s="5">
        <f t="shared" si="66"/>
        <v>32</v>
      </c>
      <c r="C347" s="2">
        <v>36742</v>
      </c>
      <c r="D347" s="1">
        <v>2036</v>
      </c>
    </row>
    <row r="348" spans="1:4" x14ac:dyDescent="0.25">
      <c r="A348" s="5">
        <f t="shared" si="65"/>
        <v>2000</v>
      </c>
      <c r="B348" s="5">
        <f t="shared" si="66"/>
        <v>33</v>
      </c>
      <c r="C348" s="2">
        <v>36749</v>
      </c>
      <c r="D348" s="1">
        <v>2080</v>
      </c>
    </row>
    <row r="349" spans="1:4" x14ac:dyDescent="0.25">
      <c r="A349" s="5">
        <f t="shared" si="65"/>
        <v>2000</v>
      </c>
      <c r="B349" s="5">
        <f t="shared" si="66"/>
        <v>34</v>
      </c>
      <c r="C349" s="2">
        <v>36756</v>
      </c>
      <c r="D349" s="1">
        <v>2127</v>
      </c>
    </row>
    <row r="350" spans="1:4" x14ac:dyDescent="0.25">
      <c r="A350" s="5">
        <f t="shared" si="65"/>
        <v>2000</v>
      </c>
      <c r="B350" s="5">
        <f t="shared" si="66"/>
        <v>35</v>
      </c>
      <c r="C350" s="2">
        <v>36763</v>
      </c>
      <c r="D350" s="1">
        <v>2171</v>
      </c>
    </row>
    <row r="351" spans="1:4" x14ac:dyDescent="0.25">
      <c r="A351" s="5">
        <f t="shared" si="65"/>
        <v>2000</v>
      </c>
      <c r="B351" s="5">
        <f t="shared" si="66"/>
        <v>36</v>
      </c>
      <c r="C351" s="2">
        <v>36770</v>
      </c>
      <c r="D351" s="1">
        <v>2205</v>
      </c>
    </row>
    <row r="352" spans="1:4" x14ac:dyDescent="0.25">
      <c r="A352" s="5">
        <f t="shared" si="65"/>
        <v>2000</v>
      </c>
      <c r="B352" s="5">
        <f t="shared" si="66"/>
        <v>37</v>
      </c>
      <c r="C352" s="2">
        <v>36777</v>
      </c>
      <c r="D352" s="1">
        <v>2274</v>
      </c>
    </row>
    <row r="353" spans="1:4" x14ac:dyDescent="0.25">
      <c r="A353" s="5">
        <f t="shared" si="65"/>
        <v>2000</v>
      </c>
      <c r="B353" s="5">
        <f t="shared" si="66"/>
        <v>38</v>
      </c>
      <c r="C353" s="2">
        <v>36784</v>
      </c>
      <c r="D353" s="1">
        <v>2338</v>
      </c>
    </row>
    <row r="354" spans="1:4" x14ac:dyDescent="0.25">
      <c r="A354" s="5">
        <f t="shared" si="65"/>
        <v>2000</v>
      </c>
      <c r="B354" s="5">
        <f t="shared" si="66"/>
        <v>39</v>
      </c>
      <c r="C354" s="2">
        <v>36791</v>
      </c>
      <c r="D354" s="1">
        <v>2412</v>
      </c>
    </row>
    <row r="355" spans="1:4" x14ac:dyDescent="0.25">
      <c r="A355" s="5">
        <f t="shared" si="65"/>
        <v>2000</v>
      </c>
      <c r="B355" s="5">
        <f t="shared" si="66"/>
        <v>40</v>
      </c>
      <c r="C355" s="2">
        <v>36798</v>
      </c>
      <c r="D355" s="1">
        <v>2486</v>
      </c>
    </row>
    <row r="356" spans="1:4" x14ac:dyDescent="0.25">
      <c r="A356" s="5">
        <f t="shared" si="65"/>
        <v>2000</v>
      </c>
      <c r="B356" s="5">
        <f t="shared" si="66"/>
        <v>41</v>
      </c>
      <c r="C356" s="2">
        <v>36805</v>
      </c>
      <c r="D356" s="1">
        <v>2547</v>
      </c>
    </row>
    <row r="357" spans="1:4" x14ac:dyDescent="0.25">
      <c r="A357" s="5">
        <f t="shared" si="65"/>
        <v>2000</v>
      </c>
      <c r="B357" s="5">
        <f t="shared" si="66"/>
        <v>42</v>
      </c>
      <c r="C357" s="2">
        <v>36812</v>
      </c>
      <c r="D357" s="1">
        <v>2574</v>
      </c>
    </row>
    <row r="358" spans="1:4" x14ac:dyDescent="0.25">
      <c r="A358" s="5">
        <f t="shared" si="65"/>
        <v>2000</v>
      </c>
      <c r="B358" s="5">
        <f t="shared" si="66"/>
        <v>43</v>
      </c>
      <c r="C358" s="2">
        <v>36819</v>
      </c>
      <c r="D358" s="1">
        <v>2644</v>
      </c>
    </row>
    <row r="359" spans="1:4" x14ac:dyDescent="0.25">
      <c r="A359" s="5">
        <f t="shared" si="65"/>
        <v>2000</v>
      </c>
      <c r="B359" s="5">
        <f t="shared" si="66"/>
        <v>44</v>
      </c>
      <c r="C359" s="2">
        <v>36826</v>
      </c>
      <c r="D359" s="1">
        <v>2713</v>
      </c>
    </row>
    <row r="360" spans="1:4" x14ac:dyDescent="0.25">
      <c r="A360" s="5">
        <f t="shared" si="65"/>
        <v>2000</v>
      </c>
      <c r="B360" s="5">
        <f t="shared" si="66"/>
        <v>45</v>
      </c>
      <c r="C360" s="2">
        <v>36833</v>
      </c>
      <c r="D360" s="1">
        <v>2748</v>
      </c>
    </row>
    <row r="361" spans="1:4" x14ac:dyDescent="0.25">
      <c r="A361" s="5">
        <f t="shared" si="65"/>
        <v>2000</v>
      </c>
      <c r="B361" s="5">
        <f t="shared" si="66"/>
        <v>46</v>
      </c>
      <c r="C361" s="2">
        <v>36840</v>
      </c>
      <c r="D361" s="1">
        <v>2744</v>
      </c>
    </row>
    <row r="362" spans="1:4" x14ac:dyDescent="0.25">
      <c r="A362" s="5">
        <f t="shared" si="65"/>
        <v>2000</v>
      </c>
      <c r="B362" s="5">
        <f t="shared" si="66"/>
        <v>47</v>
      </c>
      <c r="C362" s="2">
        <v>36847</v>
      </c>
      <c r="D362" s="1">
        <v>2654</v>
      </c>
    </row>
    <row r="363" spans="1:4" x14ac:dyDescent="0.25">
      <c r="A363" s="5">
        <f t="shared" si="65"/>
        <v>2000</v>
      </c>
      <c r="B363" s="5">
        <f t="shared" si="66"/>
        <v>48</v>
      </c>
      <c r="C363" s="2">
        <v>36854</v>
      </c>
      <c r="D363" s="1">
        <v>2506</v>
      </c>
    </row>
    <row r="364" spans="1:4" x14ac:dyDescent="0.25">
      <c r="A364" s="5">
        <f t="shared" si="65"/>
        <v>2000</v>
      </c>
      <c r="B364" s="5">
        <f t="shared" si="66"/>
        <v>49</v>
      </c>
      <c r="C364" s="2">
        <v>36861</v>
      </c>
      <c r="D364" s="1">
        <v>2434</v>
      </c>
    </row>
    <row r="365" spans="1:4" x14ac:dyDescent="0.25">
      <c r="A365" s="5">
        <f t="shared" si="65"/>
        <v>2000</v>
      </c>
      <c r="B365" s="5">
        <f t="shared" si="66"/>
        <v>50</v>
      </c>
      <c r="C365" s="2">
        <v>36868</v>
      </c>
      <c r="D365" s="1">
        <v>2287</v>
      </c>
    </row>
    <row r="366" spans="1:4" x14ac:dyDescent="0.25">
      <c r="A366" s="5">
        <f t="shared" si="65"/>
        <v>2000</v>
      </c>
      <c r="B366" s="5">
        <f t="shared" si="66"/>
        <v>51</v>
      </c>
      <c r="C366" s="2">
        <v>36875</v>
      </c>
      <c r="D366" s="1">
        <v>2140</v>
      </c>
    </row>
    <row r="367" spans="1:4" x14ac:dyDescent="0.25">
      <c r="A367" s="5">
        <f t="shared" si="65"/>
        <v>2000</v>
      </c>
      <c r="B367" s="5">
        <f t="shared" si="66"/>
        <v>52</v>
      </c>
      <c r="C367" s="2">
        <v>36882</v>
      </c>
      <c r="D367" s="1">
        <v>1973</v>
      </c>
    </row>
    <row r="368" spans="1:4" x14ac:dyDescent="0.25">
      <c r="A368" s="5">
        <f t="shared" si="65"/>
        <v>2000</v>
      </c>
      <c r="B368" s="5">
        <f t="shared" si="66"/>
        <v>53</v>
      </c>
      <c r="C368" s="2">
        <v>36889</v>
      </c>
      <c r="D368" s="1">
        <v>1765</v>
      </c>
    </row>
    <row r="369" spans="1:4" x14ac:dyDescent="0.25">
      <c r="A369" s="5">
        <f t="shared" si="65"/>
        <v>2001</v>
      </c>
      <c r="B369" s="5">
        <f t="shared" si="66"/>
        <v>1</v>
      </c>
      <c r="C369" s="2">
        <v>36896</v>
      </c>
      <c r="D369" s="1">
        <v>1611</v>
      </c>
    </row>
    <row r="370" spans="1:4" x14ac:dyDescent="0.25">
      <c r="A370" s="5">
        <f t="shared" si="65"/>
        <v>2001</v>
      </c>
      <c r="B370" s="5">
        <f t="shared" si="66"/>
        <v>2</v>
      </c>
      <c r="C370" s="2">
        <v>36903</v>
      </c>
      <c r="D370" s="1">
        <v>1525</v>
      </c>
    </row>
    <row r="371" spans="1:4" x14ac:dyDescent="0.25">
      <c r="A371" s="5">
        <f t="shared" si="65"/>
        <v>2001</v>
      </c>
      <c r="B371" s="5">
        <f t="shared" si="66"/>
        <v>3</v>
      </c>
      <c r="C371" s="2">
        <v>36910</v>
      </c>
      <c r="D371" s="1">
        <v>1452</v>
      </c>
    </row>
    <row r="372" spans="1:4" x14ac:dyDescent="0.25">
      <c r="A372" s="5">
        <f t="shared" si="65"/>
        <v>2001</v>
      </c>
      <c r="B372" s="5">
        <f t="shared" si="66"/>
        <v>4</v>
      </c>
      <c r="C372" s="2">
        <v>36917</v>
      </c>
      <c r="D372" s="1">
        <v>1333</v>
      </c>
    </row>
    <row r="373" spans="1:4" x14ac:dyDescent="0.25">
      <c r="A373" s="5">
        <f t="shared" si="65"/>
        <v>2001</v>
      </c>
      <c r="B373" s="5">
        <f t="shared" si="66"/>
        <v>5</v>
      </c>
      <c r="C373" s="2">
        <v>36924</v>
      </c>
      <c r="D373" s="1">
        <v>1238</v>
      </c>
    </row>
    <row r="374" spans="1:4" x14ac:dyDescent="0.25">
      <c r="A374" s="5">
        <f t="shared" si="65"/>
        <v>2001</v>
      </c>
      <c r="B374" s="5">
        <f t="shared" si="66"/>
        <v>6</v>
      </c>
      <c r="C374" s="2">
        <v>36931</v>
      </c>
      <c r="D374" s="1">
        <v>1151</v>
      </c>
    </row>
    <row r="375" spans="1:4" x14ac:dyDescent="0.25">
      <c r="A375" s="5">
        <f t="shared" si="65"/>
        <v>2001</v>
      </c>
      <c r="B375" s="5">
        <f t="shared" si="66"/>
        <v>7</v>
      </c>
      <c r="C375" s="2">
        <v>36938</v>
      </c>
      <c r="D375" s="1">
        <v>1075</v>
      </c>
    </row>
    <row r="376" spans="1:4" x14ac:dyDescent="0.25">
      <c r="A376" s="5">
        <f t="shared" si="65"/>
        <v>2001</v>
      </c>
      <c r="B376" s="5">
        <f t="shared" si="66"/>
        <v>8</v>
      </c>
      <c r="C376" s="2">
        <v>36945</v>
      </c>
      <c r="D376" s="1">
        <v>966</v>
      </c>
    </row>
    <row r="377" spans="1:4" x14ac:dyDescent="0.25">
      <c r="A377" s="5">
        <f t="shared" si="65"/>
        <v>2001</v>
      </c>
      <c r="B377" s="5">
        <f t="shared" si="66"/>
        <v>9</v>
      </c>
      <c r="C377" s="2">
        <v>36952</v>
      </c>
      <c r="D377" s="1">
        <v>894</v>
      </c>
    </row>
    <row r="378" spans="1:4" x14ac:dyDescent="0.25">
      <c r="A378" s="5">
        <f t="shared" si="65"/>
        <v>2001</v>
      </c>
      <c r="B378" s="5">
        <f t="shared" si="66"/>
        <v>10</v>
      </c>
      <c r="C378" s="2">
        <v>36959</v>
      </c>
      <c r="D378" s="1">
        <v>817</v>
      </c>
    </row>
    <row r="379" spans="1:4" x14ac:dyDescent="0.25">
      <c r="A379" s="5">
        <f t="shared" si="65"/>
        <v>2001</v>
      </c>
      <c r="B379" s="5">
        <f t="shared" si="66"/>
        <v>11</v>
      </c>
      <c r="C379" s="2">
        <v>36966</v>
      </c>
      <c r="D379" s="1">
        <v>799</v>
      </c>
    </row>
    <row r="380" spans="1:4" x14ac:dyDescent="0.25">
      <c r="A380" s="5">
        <f t="shared" si="65"/>
        <v>2001</v>
      </c>
      <c r="B380" s="5">
        <f t="shared" si="66"/>
        <v>12</v>
      </c>
      <c r="C380" s="2">
        <v>36973</v>
      </c>
      <c r="D380" s="1">
        <v>796</v>
      </c>
    </row>
    <row r="381" spans="1:4" x14ac:dyDescent="0.25">
      <c r="A381" s="5">
        <f t="shared" si="65"/>
        <v>2001</v>
      </c>
      <c r="B381" s="5">
        <f t="shared" si="66"/>
        <v>13</v>
      </c>
      <c r="C381" s="2">
        <v>36980</v>
      </c>
      <c r="D381" s="1">
        <v>738</v>
      </c>
    </row>
    <row r="382" spans="1:4" x14ac:dyDescent="0.25">
      <c r="A382" s="5">
        <f t="shared" si="65"/>
        <v>2001</v>
      </c>
      <c r="B382" s="5">
        <f t="shared" si="66"/>
        <v>14</v>
      </c>
      <c r="C382" s="2">
        <v>36987</v>
      </c>
      <c r="D382" s="1">
        <v>741</v>
      </c>
    </row>
    <row r="383" spans="1:4" x14ac:dyDescent="0.25">
      <c r="A383" s="5">
        <f t="shared" si="65"/>
        <v>2001</v>
      </c>
      <c r="B383" s="5">
        <f t="shared" si="66"/>
        <v>15</v>
      </c>
      <c r="C383" s="2">
        <v>36994</v>
      </c>
      <c r="D383" s="1">
        <v>810</v>
      </c>
    </row>
    <row r="384" spans="1:4" x14ac:dyDescent="0.25">
      <c r="A384" s="5">
        <f t="shared" si="65"/>
        <v>2001</v>
      </c>
      <c r="B384" s="5">
        <f t="shared" si="66"/>
        <v>16</v>
      </c>
      <c r="C384" s="2">
        <v>37001</v>
      </c>
      <c r="D384" s="1">
        <v>844</v>
      </c>
    </row>
    <row r="385" spans="1:4" x14ac:dyDescent="0.25">
      <c r="A385" s="5">
        <f t="shared" si="65"/>
        <v>2001</v>
      </c>
      <c r="B385" s="5">
        <f t="shared" si="66"/>
        <v>17</v>
      </c>
      <c r="C385" s="2">
        <v>37008</v>
      </c>
      <c r="D385" s="1">
        <v>947</v>
      </c>
    </row>
    <row r="386" spans="1:4" x14ac:dyDescent="0.25">
      <c r="A386" s="5">
        <f t="shared" si="65"/>
        <v>2001</v>
      </c>
      <c r="B386" s="5">
        <f t="shared" si="66"/>
        <v>18</v>
      </c>
      <c r="C386" s="2">
        <v>37015</v>
      </c>
      <c r="D386" s="1">
        <v>1054</v>
      </c>
    </row>
    <row r="387" spans="1:4" x14ac:dyDescent="0.25">
      <c r="A387" s="5">
        <f t="shared" ref="A387:A450" si="67">YEAR(C387)</f>
        <v>2001</v>
      </c>
      <c r="B387" s="5">
        <f t="shared" ref="B387:B450" si="68">WEEKNUM(C387)</f>
        <v>19</v>
      </c>
      <c r="C387" s="2">
        <v>37022</v>
      </c>
      <c r="D387" s="1">
        <v>1157</v>
      </c>
    </row>
    <row r="388" spans="1:4" x14ac:dyDescent="0.25">
      <c r="A388" s="5">
        <f t="shared" si="67"/>
        <v>2001</v>
      </c>
      <c r="B388" s="5">
        <f t="shared" si="68"/>
        <v>20</v>
      </c>
      <c r="C388" s="2">
        <v>37029</v>
      </c>
      <c r="D388" s="1">
        <v>1267</v>
      </c>
    </row>
    <row r="389" spans="1:4" x14ac:dyDescent="0.25">
      <c r="A389" s="5">
        <f t="shared" si="67"/>
        <v>2001</v>
      </c>
      <c r="B389" s="5">
        <f t="shared" si="68"/>
        <v>21</v>
      </c>
      <c r="C389" s="2">
        <v>37036</v>
      </c>
      <c r="D389" s="1">
        <v>1354</v>
      </c>
    </row>
    <row r="390" spans="1:4" x14ac:dyDescent="0.25">
      <c r="A390" s="5">
        <f t="shared" si="67"/>
        <v>2001</v>
      </c>
      <c r="B390" s="5">
        <f t="shared" si="68"/>
        <v>22</v>
      </c>
      <c r="C390" s="2">
        <v>37043</v>
      </c>
      <c r="D390" s="1">
        <v>1457</v>
      </c>
    </row>
    <row r="391" spans="1:4" x14ac:dyDescent="0.25">
      <c r="A391" s="5">
        <f t="shared" si="67"/>
        <v>2001</v>
      </c>
      <c r="B391" s="5">
        <f t="shared" si="68"/>
        <v>23</v>
      </c>
      <c r="C391" s="2">
        <v>37050</v>
      </c>
      <c r="D391" s="1">
        <v>1560</v>
      </c>
    </row>
    <row r="392" spans="1:4" x14ac:dyDescent="0.25">
      <c r="A392" s="5">
        <f t="shared" si="67"/>
        <v>2001</v>
      </c>
      <c r="B392" s="5">
        <f t="shared" si="68"/>
        <v>24</v>
      </c>
      <c r="C392" s="2">
        <v>37057</v>
      </c>
      <c r="D392" s="1">
        <v>1664</v>
      </c>
    </row>
    <row r="393" spans="1:4" x14ac:dyDescent="0.25">
      <c r="A393" s="5">
        <f t="shared" si="67"/>
        <v>2001</v>
      </c>
      <c r="B393" s="5">
        <f t="shared" si="68"/>
        <v>25</v>
      </c>
      <c r="C393" s="2">
        <v>37064</v>
      </c>
      <c r="D393" s="1">
        <v>1768</v>
      </c>
    </row>
    <row r="394" spans="1:4" x14ac:dyDescent="0.25">
      <c r="A394" s="5">
        <f t="shared" si="67"/>
        <v>2001</v>
      </c>
      <c r="B394" s="5">
        <f t="shared" si="68"/>
        <v>26</v>
      </c>
      <c r="C394" s="2">
        <v>37071</v>
      </c>
      <c r="D394" s="1">
        <v>1867</v>
      </c>
    </row>
    <row r="395" spans="1:4" x14ac:dyDescent="0.25">
      <c r="A395" s="5">
        <f t="shared" si="67"/>
        <v>2001</v>
      </c>
      <c r="B395" s="5">
        <f t="shared" si="68"/>
        <v>27</v>
      </c>
      <c r="C395" s="2">
        <v>37078</v>
      </c>
      <c r="D395" s="1">
        <v>1974</v>
      </c>
    </row>
    <row r="396" spans="1:4" x14ac:dyDescent="0.25">
      <c r="A396" s="5">
        <f t="shared" si="67"/>
        <v>2001</v>
      </c>
      <c r="B396" s="5">
        <f t="shared" si="68"/>
        <v>28</v>
      </c>
      <c r="C396" s="2">
        <v>37085</v>
      </c>
      <c r="D396" s="1">
        <v>2075</v>
      </c>
    </row>
    <row r="397" spans="1:4" x14ac:dyDescent="0.25">
      <c r="A397" s="5">
        <f t="shared" si="67"/>
        <v>2001</v>
      </c>
      <c r="B397" s="5">
        <f t="shared" si="68"/>
        <v>29</v>
      </c>
      <c r="C397" s="2">
        <v>37092</v>
      </c>
      <c r="D397" s="1">
        <v>2152</v>
      </c>
    </row>
    <row r="398" spans="1:4" x14ac:dyDescent="0.25">
      <c r="A398" s="5">
        <f t="shared" si="67"/>
        <v>2001</v>
      </c>
      <c r="B398" s="5">
        <f t="shared" si="68"/>
        <v>30</v>
      </c>
      <c r="C398" s="2">
        <v>37099</v>
      </c>
      <c r="D398" s="1">
        <v>2220</v>
      </c>
    </row>
    <row r="399" spans="1:4" x14ac:dyDescent="0.25">
      <c r="A399" s="5">
        <f t="shared" si="67"/>
        <v>2001</v>
      </c>
      <c r="B399" s="5">
        <f t="shared" si="68"/>
        <v>31</v>
      </c>
      <c r="C399" s="2">
        <v>37106</v>
      </c>
      <c r="D399" s="1">
        <v>2295</v>
      </c>
    </row>
    <row r="400" spans="1:4" x14ac:dyDescent="0.25">
      <c r="A400" s="5">
        <f t="shared" si="67"/>
        <v>2001</v>
      </c>
      <c r="B400" s="5">
        <f t="shared" si="68"/>
        <v>32</v>
      </c>
      <c r="C400" s="2">
        <v>37113</v>
      </c>
      <c r="D400" s="1">
        <v>2341</v>
      </c>
    </row>
    <row r="401" spans="1:4" x14ac:dyDescent="0.25">
      <c r="A401" s="5">
        <f t="shared" si="67"/>
        <v>2001</v>
      </c>
      <c r="B401" s="5">
        <f t="shared" si="68"/>
        <v>33</v>
      </c>
      <c r="C401" s="2">
        <v>37120</v>
      </c>
      <c r="D401" s="1">
        <v>2426</v>
      </c>
    </row>
    <row r="402" spans="1:4" x14ac:dyDescent="0.25">
      <c r="A402" s="5">
        <f t="shared" si="67"/>
        <v>2001</v>
      </c>
      <c r="B402" s="5">
        <f t="shared" si="68"/>
        <v>34</v>
      </c>
      <c r="C402" s="2">
        <v>37127</v>
      </c>
      <c r="D402" s="1">
        <v>2500</v>
      </c>
    </row>
    <row r="403" spans="1:4" x14ac:dyDescent="0.25">
      <c r="A403" s="5">
        <f t="shared" si="67"/>
        <v>2001</v>
      </c>
      <c r="B403" s="5">
        <f t="shared" si="68"/>
        <v>35</v>
      </c>
      <c r="C403" s="2">
        <v>37134</v>
      </c>
      <c r="D403" s="1">
        <v>2576</v>
      </c>
    </row>
    <row r="404" spans="1:4" x14ac:dyDescent="0.25">
      <c r="A404" s="5">
        <f t="shared" si="67"/>
        <v>2001</v>
      </c>
      <c r="B404" s="5">
        <f t="shared" si="68"/>
        <v>36</v>
      </c>
      <c r="C404" s="2">
        <v>37141</v>
      </c>
      <c r="D404" s="1">
        <v>2673</v>
      </c>
    </row>
    <row r="405" spans="1:4" x14ac:dyDescent="0.25">
      <c r="A405" s="5">
        <f t="shared" si="67"/>
        <v>2001</v>
      </c>
      <c r="B405" s="5">
        <f t="shared" si="68"/>
        <v>37</v>
      </c>
      <c r="C405" s="2">
        <v>37148</v>
      </c>
      <c r="D405" s="1">
        <v>2764</v>
      </c>
    </row>
    <row r="406" spans="1:4" x14ac:dyDescent="0.25">
      <c r="A406" s="5">
        <f t="shared" si="67"/>
        <v>2001</v>
      </c>
      <c r="B406" s="5">
        <f t="shared" si="68"/>
        <v>38</v>
      </c>
      <c r="C406" s="2">
        <v>37155</v>
      </c>
      <c r="D406" s="1">
        <v>2857</v>
      </c>
    </row>
    <row r="407" spans="1:4" x14ac:dyDescent="0.25">
      <c r="A407" s="5">
        <f t="shared" si="67"/>
        <v>2001</v>
      </c>
      <c r="B407" s="5">
        <f t="shared" si="68"/>
        <v>39</v>
      </c>
      <c r="C407" s="2">
        <v>37162</v>
      </c>
      <c r="D407" s="1">
        <v>2925</v>
      </c>
    </row>
    <row r="408" spans="1:4" x14ac:dyDescent="0.25">
      <c r="A408" s="5">
        <f t="shared" si="67"/>
        <v>2001</v>
      </c>
      <c r="B408" s="5">
        <f t="shared" si="68"/>
        <v>40</v>
      </c>
      <c r="C408" s="2">
        <v>37169</v>
      </c>
      <c r="D408" s="1">
        <v>2998</v>
      </c>
    </row>
    <row r="409" spans="1:4" x14ac:dyDescent="0.25">
      <c r="A409" s="5">
        <f t="shared" si="67"/>
        <v>2001</v>
      </c>
      <c r="B409" s="5">
        <f t="shared" si="68"/>
        <v>41</v>
      </c>
      <c r="C409" s="2">
        <v>37176</v>
      </c>
      <c r="D409" s="1">
        <v>3068</v>
      </c>
    </row>
    <row r="410" spans="1:4" x14ac:dyDescent="0.25">
      <c r="A410" s="5">
        <f t="shared" si="67"/>
        <v>2001</v>
      </c>
      <c r="B410" s="5">
        <f t="shared" si="68"/>
        <v>42</v>
      </c>
      <c r="C410" s="2">
        <v>37183</v>
      </c>
      <c r="D410" s="1">
        <v>3100</v>
      </c>
    </row>
    <row r="411" spans="1:4" x14ac:dyDescent="0.25">
      <c r="A411" s="5">
        <f t="shared" si="67"/>
        <v>2001</v>
      </c>
      <c r="B411" s="5">
        <f t="shared" si="68"/>
        <v>43</v>
      </c>
      <c r="C411" s="2">
        <v>37190</v>
      </c>
      <c r="D411" s="1">
        <v>3132</v>
      </c>
    </row>
    <row r="412" spans="1:4" x14ac:dyDescent="0.25">
      <c r="A412" s="5">
        <f t="shared" si="67"/>
        <v>2001</v>
      </c>
      <c r="B412" s="5">
        <f t="shared" si="68"/>
        <v>44</v>
      </c>
      <c r="C412" s="2">
        <v>37197</v>
      </c>
      <c r="D412" s="1">
        <v>3152</v>
      </c>
    </row>
    <row r="413" spans="1:4" x14ac:dyDescent="0.25">
      <c r="A413" s="5">
        <f t="shared" si="67"/>
        <v>2001</v>
      </c>
      <c r="B413" s="5">
        <f t="shared" si="68"/>
        <v>45</v>
      </c>
      <c r="C413" s="2">
        <v>37204</v>
      </c>
      <c r="D413" s="1">
        <v>3187</v>
      </c>
    </row>
    <row r="414" spans="1:4" x14ac:dyDescent="0.25">
      <c r="A414" s="5">
        <f t="shared" si="67"/>
        <v>2001</v>
      </c>
      <c r="B414" s="5">
        <f t="shared" si="68"/>
        <v>46</v>
      </c>
      <c r="C414" s="2">
        <v>37211</v>
      </c>
      <c r="D414" s="1">
        <v>3220</v>
      </c>
    </row>
    <row r="415" spans="1:4" x14ac:dyDescent="0.25">
      <c r="A415" s="5">
        <f t="shared" si="67"/>
        <v>2001</v>
      </c>
      <c r="B415" s="5">
        <f t="shared" si="68"/>
        <v>47</v>
      </c>
      <c r="C415" s="2">
        <v>37218</v>
      </c>
      <c r="D415" s="1">
        <v>3250</v>
      </c>
    </row>
    <row r="416" spans="1:4" x14ac:dyDescent="0.25">
      <c r="A416" s="5">
        <f t="shared" si="67"/>
        <v>2001</v>
      </c>
      <c r="B416" s="5">
        <f t="shared" si="68"/>
        <v>48</v>
      </c>
      <c r="C416" s="2">
        <v>37225</v>
      </c>
      <c r="D416" s="1">
        <v>3254</v>
      </c>
    </row>
    <row r="417" spans="1:4" x14ac:dyDescent="0.25">
      <c r="A417" s="5">
        <f t="shared" si="67"/>
        <v>2001</v>
      </c>
      <c r="B417" s="5">
        <f t="shared" si="68"/>
        <v>49</v>
      </c>
      <c r="C417" s="2">
        <v>37232</v>
      </c>
      <c r="D417" s="1">
        <v>3238</v>
      </c>
    </row>
    <row r="418" spans="1:4" x14ac:dyDescent="0.25">
      <c r="A418" s="5">
        <f t="shared" si="67"/>
        <v>2001</v>
      </c>
      <c r="B418" s="5">
        <f t="shared" si="68"/>
        <v>50</v>
      </c>
      <c r="C418" s="2">
        <v>37239</v>
      </c>
      <c r="D418" s="1">
        <v>3195</v>
      </c>
    </row>
    <row r="419" spans="1:4" x14ac:dyDescent="0.25">
      <c r="A419" s="5">
        <f t="shared" si="67"/>
        <v>2001</v>
      </c>
      <c r="B419" s="5">
        <f t="shared" si="68"/>
        <v>51</v>
      </c>
      <c r="C419" s="2">
        <v>37246</v>
      </c>
      <c r="D419" s="1">
        <v>3115</v>
      </c>
    </row>
    <row r="420" spans="1:4" x14ac:dyDescent="0.25">
      <c r="A420" s="5">
        <f t="shared" si="67"/>
        <v>2001</v>
      </c>
      <c r="B420" s="5">
        <f t="shared" si="68"/>
        <v>52</v>
      </c>
      <c r="C420" s="2">
        <v>37253</v>
      </c>
      <c r="D420" s="1">
        <v>2989</v>
      </c>
    </row>
    <row r="421" spans="1:4" x14ac:dyDescent="0.25">
      <c r="A421" s="5">
        <f t="shared" si="67"/>
        <v>2002</v>
      </c>
      <c r="B421" s="5">
        <f t="shared" si="68"/>
        <v>1</v>
      </c>
      <c r="C421" s="2">
        <v>37260</v>
      </c>
      <c r="D421" s="1">
        <v>2790</v>
      </c>
    </row>
    <row r="422" spans="1:4" x14ac:dyDescent="0.25">
      <c r="A422" s="5">
        <f t="shared" si="67"/>
        <v>2002</v>
      </c>
      <c r="B422" s="5">
        <f t="shared" si="68"/>
        <v>2</v>
      </c>
      <c r="C422" s="2">
        <v>37267</v>
      </c>
      <c r="D422" s="1">
        <v>2648</v>
      </c>
    </row>
    <row r="423" spans="1:4" x14ac:dyDescent="0.25">
      <c r="A423" s="5">
        <f t="shared" si="67"/>
        <v>2002</v>
      </c>
      <c r="B423" s="5">
        <f t="shared" si="68"/>
        <v>3</v>
      </c>
      <c r="C423" s="2">
        <v>37274</v>
      </c>
      <c r="D423" s="1">
        <v>2522</v>
      </c>
    </row>
    <row r="424" spans="1:4" x14ac:dyDescent="0.25">
      <c r="A424" s="5">
        <f t="shared" si="67"/>
        <v>2002</v>
      </c>
      <c r="B424" s="5">
        <f t="shared" si="68"/>
        <v>4</v>
      </c>
      <c r="C424" s="2">
        <v>37281</v>
      </c>
      <c r="D424" s="1">
        <v>2410</v>
      </c>
    </row>
    <row r="425" spans="1:4" x14ac:dyDescent="0.25">
      <c r="A425" s="5">
        <f t="shared" si="67"/>
        <v>2002</v>
      </c>
      <c r="B425" s="5">
        <f t="shared" si="68"/>
        <v>5</v>
      </c>
      <c r="C425" s="2">
        <v>37288</v>
      </c>
      <c r="D425" s="1">
        <v>2332</v>
      </c>
    </row>
    <row r="426" spans="1:4" x14ac:dyDescent="0.25">
      <c r="A426" s="5">
        <f t="shared" si="67"/>
        <v>2002</v>
      </c>
      <c r="B426" s="5">
        <f t="shared" si="68"/>
        <v>6</v>
      </c>
      <c r="C426" s="2">
        <v>37295</v>
      </c>
      <c r="D426" s="1">
        <v>2160</v>
      </c>
    </row>
    <row r="427" spans="1:4" x14ac:dyDescent="0.25">
      <c r="A427" s="5">
        <f t="shared" si="67"/>
        <v>2002</v>
      </c>
      <c r="B427" s="5">
        <f t="shared" si="68"/>
        <v>7</v>
      </c>
      <c r="C427" s="2">
        <v>37302</v>
      </c>
      <c r="D427" s="1">
        <v>2036</v>
      </c>
    </row>
    <row r="428" spans="1:4" x14ac:dyDescent="0.25">
      <c r="A428" s="5">
        <f t="shared" si="67"/>
        <v>2002</v>
      </c>
      <c r="B428" s="5">
        <f t="shared" si="68"/>
        <v>8</v>
      </c>
      <c r="C428" s="2">
        <v>37309</v>
      </c>
      <c r="D428" s="1">
        <v>1962</v>
      </c>
    </row>
    <row r="429" spans="1:4" x14ac:dyDescent="0.25">
      <c r="A429" s="5">
        <f t="shared" si="67"/>
        <v>2002</v>
      </c>
      <c r="B429" s="5">
        <f t="shared" si="68"/>
        <v>9</v>
      </c>
      <c r="C429" s="2">
        <v>37316</v>
      </c>
      <c r="D429" s="1">
        <v>1819</v>
      </c>
    </row>
    <row r="430" spans="1:4" x14ac:dyDescent="0.25">
      <c r="A430" s="5">
        <f t="shared" si="67"/>
        <v>2002</v>
      </c>
      <c r="B430" s="5">
        <f t="shared" si="68"/>
        <v>10</v>
      </c>
      <c r="C430" s="2">
        <v>37323</v>
      </c>
      <c r="D430" s="1">
        <v>1728</v>
      </c>
    </row>
    <row r="431" spans="1:4" x14ac:dyDescent="0.25">
      <c r="A431" s="5">
        <f t="shared" si="67"/>
        <v>2002</v>
      </c>
      <c r="B431" s="5">
        <f t="shared" si="68"/>
        <v>11</v>
      </c>
      <c r="C431" s="2">
        <v>37330</v>
      </c>
      <c r="D431" s="1">
        <v>1636</v>
      </c>
    </row>
    <row r="432" spans="1:4" x14ac:dyDescent="0.25">
      <c r="A432" s="5">
        <f t="shared" si="67"/>
        <v>2002</v>
      </c>
      <c r="B432" s="5">
        <f t="shared" si="68"/>
        <v>12</v>
      </c>
      <c r="C432" s="2">
        <v>37337</v>
      </c>
      <c r="D432" s="1">
        <v>1561</v>
      </c>
    </row>
    <row r="433" spans="1:4" x14ac:dyDescent="0.25">
      <c r="A433" s="5">
        <f t="shared" si="67"/>
        <v>2002</v>
      </c>
      <c r="B433" s="5">
        <f t="shared" si="68"/>
        <v>13</v>
      </c>
      <c r="C433" s="2">
        <v>37344</v>
      </c>
      <c r="D433" s="1">
        <v>1500</v>
      </c>
    </row>
    <row r="434" spans="1:4" x14ac:dyDescent="0.25">
      <c r="A434" s="5">
        <f t="shared" si="67"/>
        <v>2002</v>
      </c>
      <c r="B434" s="5">
        <f t="shared" si="68"/>
        <v>14</v>
      </c>
      <c r="C434" s="2">
        <v>37351</v>
      </c>
      <c r="D434" s="1">
        <v>1491</v>
      </c>
    </row>
    <row r="435" spans="1:4" x14ac:dyDescent="0.25">
      <c r="A435" s="5">
        <f t="shared" si="67"/>
        <v>2002</v>
      </c>
      <c r="B435" s="5">
        <f t="shared" si="68"/>
        <v>15</v>
      </c>
      <c r="C435" s="2">
        <v>37358</v>
      </c>
      <c r="D435" s="1">
        <v>1506</v>
      </c>
    </row>
    <row r="436" spans="1:4" x14ac:dyDescent="0.25">
      <c r="A436" s="5">
        <f t="shared" si="67"/>
        <v>2002</v>
      </c>
      <c r="B436" s="5">
        <f t="shared" si="68"/>
        <v>16</v>
      </c>
      <c r="C436" s="2">
        <v>37365</v>
      </c>
      <c r="D436" s="1">
        <v>1575</v>
      </c>
    </row>
    <row r="437" spans="1:4" x14ac:dyDescent="0.25">
      <c r="A437" s="5">
        <f t="shared" si="67"/>
        <v>2002</v>
      </c>
      <c r="B437" s="5">
        <f t="shared" si="68"/>
        <v>17</v>
      </c>
      <c r="C437" s="2">
        <v>37372</v>
      </c>
      <c r="D437" s="1">
        <v>1606</v>
      </c>
    </row>
    <row r="438" spans="1:4" x14ac:dyDescent="0.25">
      <c r="A438" s="5">
        <f t="shared" si="67"/>
        <v>2002</v>
      </c>
      <c r="B438" s="5">
        <f t="shared" si="68"/>
        <v>18</v>
      </c>
      <c r="C438" s="2">
        <v>37379</v>
      </c>
      <c r="D438" s="1">
        <v>1645</v>
      </c>
    </row>
    <row r="439" spans="1:4" x14ac:dyDescent="0.25">
      <c r="A439" s="5">
        <f t="shared" si="67"/>
        <v>2002</v>
      </c>
      <c r="B439" s="5">
        <f t="shared" si="68"/>
        <v>19</v>
      </c>
      <c r="C439" s="2">
        <v>37386</v>
      </c>
      <c r="D439" s="1">
        <v>1707</v>
      </c>
    </row>
    <row r="440" spans="1:4" x14ac:dyDescent="0.25">
      <c r="A440" s="5">
        <f t="shared" si="67"/>
        <v>2002</v>
      </c>
      <c r="B440" s="5">
        <f t="shared" si="68"/>
        <v>20</v>
      </c>
      <c r="C440" s="2">
        <v>37393</v>
      </c>
      <c r="D440" s="1">
        <v>1775</v>
      </c>
    </row>
    <row r="441" spans="1:4" x14ac:dyDescent="0.25">
      <c r="A441" s="5">
        <f t="shared" si="67"/>
        <v>2002</v>
      </c>
      <c r="B441" s="5">
        <f t="shared" si="68"/>
        <v>21</v>
      </c>
      <c r="C441" s="2">
        <v>37400</v>
      </c>
      <c r="D441" s="1">
        <v>1847</v>
      </c>
    </row>
    <row r="442" spans="1:4" x14ac:dyDescent="0.25">
      <c r="A442" s="5">
        <f t="shared" si="67"/>
        <v>2002</v>
      </c>
      <c r="B442" s="5">
        <f t="shared" si="68"/>
        <v>22</v>
      </c>
      <c r="C442" s="2">
        <v>37407</v>
      </c>
      <c r="D442" s="1">
        <v>1954</v>
      </c>
    </row>
    <row r="443" spans="1:4" x14ac:dyDescent="0.25">
      <c r="A443" s="5">
        <f t="shared" si="67"/>
        <v>2002</v>
      </c>
      <c r="B443" s="5">
        <f t="shared" si="68"/>
        <v>23</v>
      </c>
      <c r="C443" s="2">
        <v>37414</v>
      </c>
      <c r="D443" s="1">
        <v>2042</v>
      </c>
    </row>
    <row r="444" spans="1:4" x14ac:dyDescent="0.25">
      <c r="A444" s="5">
        <f t="shared" si="67"/>
        <v>2002</v>
      </c>
      <c r="B444" s="5">
        <f t="shared" si="68"/>
        <v>24</v>
      </c>
      <c r="C444" s="2">
        <v>37421</v>
      </c>
      <c r="D444" s="1">
        <v>2123</v>
      </c>
    </row>
    <row r="445" spans="1:4" x14ac:dyDescent="0.25">
      <c r="A445" s="5">
        <f t="shared" si="67"/>
        <v>2002</v>
      </c>
      <c r="B445" s="5">
        <f t="shared" si="68"/>
        <v>25</v>
      </c>
      <c r="C445" s="2">
        <v>37428</v>
      </c>
      <c r="D445" s="1">
        <v>2218</v>
      </c>
    </row>
    <row r="446" spans="1:4" x14ac:dyDescent="0.25">
      <c r="A446" s="5">
        <f t="shared" si="67"/>
        <v>2002</v>
      </c>
      <c r="B446" s="5">
        <f t="shared" si="68"/>
        <v>26</v>
      </c>
      <c r="C446" s="2">
        <v>37435</v>
      </c>
      <c r="D446" s="1">
        <v>2286</v>
      </c>
    </row>
    <row r="447" spans="1:4" x14ac:dyDescent="0.25">
      <c r="A447" s="5">
        <f t="shared" si="67"/>
        <v>2002</v>
      </c>
      <c r="B447" s="5">
        <f t="shared" si="68"/>
        <v>27</v>
      </c>
      <c r="C447" s="2">
        <v>37442</v>
      </c>
      <c r="D447" s="1">
        <v>2353</v>
      </c>
    </row>
    <row r="448" spans="1:4" x14ac:dyDescent="0.25">
      <c r="A448" s="5">
        <f t="shared" si="67"/>
        <v>2002</v>
      </c>
      <c r="B448" s="5">
        <f t="shared" si="68"/>
        <v>28</v>
      </c>
      <c r="C448" s="2">
        <v>37449</v>
      </c>
      <c r="D448" s="1">
        <v>2422</v>
      </c>
    </row>
    <row r="449" spans="1:4" x14ac:dyDescent="0.25">
      <c r="A449" s="5">
        <f t="shared" si="67"/>
        <v>2002</v>
      </c>
      <c r="B449" s="5">
        <f t="shared" si="68"/>
        <v>29</v>
      </c>
      <c r="C449" s="2">
        <v>37456</v>
      </c>
      <c r="D449" s="1">
        <v>2486</v>
      </c>
    </row>
    <row r="450" spans="1:4" x14ac:dyDescent="0.25">
      <c r="A450" s="5">
        <f t="shared" si="67"/>
        <v>2002</v>
      </c>
      <c r="B450" s="5">
        <f t="shared" si="68"/>
        <v>30</v>
      </c>
      <c r="C450" s="2">
        <v>37463</v>
      </c>
      <c r="D450" s="1">
        <v>2534</v>
      </c>
    </row>
    <row r="451" spans="1:4" x14ac:dyDescent="0.25">
      <c r="A451" s="5">
        <f t="shared" ref="A451:A514" si="69">YEAR(C451)</f>
        <v>2002</v>
      </c>
      <c r="B451" s="5">
        <f t="shared" ref="B451:B514" si="70">WEEKNUM(C451)</f>
        <v>31</v>
      </c>
      <c r="C451" s="2">
        <v>37470</v>
      </c>
      <c r="D451" s="1">
        <v>2567</v>
      </c>
    </row>
    <row r="452" spans="1:4" x14ac:dyDescent="0.25">
      <c r="A452" s="5">
        <f t="shared" si="69"/>
        <v>2002</v>
      </c>
      <c r="B452" s="5">
        <f t="shared" si="70"/>
        <v>32</v>
      </c>
      <c r="C452" s="2">
        <v>37477</v>
      </c>
      <c r="D452" s="1">
        <v>2620</v>
      </c>
    </row>
    <row r="453" spans="1:4" x14ac:dyDescent="0.25">
      <c r="A453" s="5">
        <f t="shared" si="69"/>
        <v>2002</v>
      </c>
      <c r="B453" s="5">
        <f t="shared" si="70"/>
        <v>33</v>
      </c>
      <c r="C453" s="2">
        <v>37484</v>
      </c>
      <c r="D453" s="1">
        <v>2657</v>
      </c>
    </row>
    <row r="454" spans="1:4" x14ac:dyDescent="0.25">
      <c r="A454" s="5">
        <f t="shared" si="69"/>
        <v>2002</v>
      </c>
      <c r="B454" s="5">
        <f t="shared" si="70"/>
        <v>34</v>
      </c>
      <c r="C454" s="2">
        <v>37491</v>
      </c>
      <c r="D454" s="1">
        <v>2716</v>
      </c>
    </row>
    <row r="455" spans="1:4" x14ac:dyDescent="0.25">
      <c r="A455" s="5">
        <f t="shared" si="69"/>
        <v>2002</v>
      </c>
      <c r="B455" s="5">
        <f t="shared" si="70"/>
        <v>35</v>
      </c>
      <c r="C455" s="2">
        <v>37498</v>
      </c>
      <c r="D455" s="1">
        <v>2781</v>
      </c>
    </row>
    <row r="456" spans="1:4" x14ac:dyDescent="0.25">
      <c r="A456" s="5">
        <f t="shared" si="69"/>
        <v>2002</v>
      </c>
      <c r="B456" s="5">
        <f t="shared" si="70"/>
        <v>36</v>
      </c>
      <c r="C456" s="2">
        <v>37505</v>
      </c>
      <c r="D456" s="1">
        <v>2855</v>
      </c>
    </row>
    <row r="457" spans="1:4" x14ac:dyDescent="0.25">
      <c r="A457" s="5">
        <f t="shared" si="69"/>
        <v>2002</v>
      </c>
      <c r="B457" s="5">
        <f t="shared" si="70"/>
        <v>37</v>
      </c>
      <c r="C457" s="2">
        <v>37512</v>
      </c>
      <c r="D457" s="1">
        <v>2924</v>
      </c>
    </row>
    <row r="458" spans="1:4" x14ac:dyDescent="0.25">
      <c r="A458" s="5">
        <f t="shared" si="69"/>
        <v>2002</v>
      </c>
      <c r="B458" s="5">
        <f t="shared" si="70"/>
        <v>38</v>
      </c>
      <c r="C458" s="2">
        <v>37519</v>
      </c>
      <c r="D458" s="1">
        <v>2990</v>
      </c>
    </row>
    <row r="459" spans="1:4" x14ac:dyDescent="0.25">
      <c r="A459" s="5">
        <f t="shared" si="69"/>
        <v>2002</v>
      </c>
      <c r="B459" s="5">
        <f t="shared" si="70"/>
        <v>39</v>
      </c>
      <c r="C459" s="2">
        <v>37526</v>
      </c>
      <c r="D459" s="1">
        <v>3038</v>
      </c>
    </row>
    <row r="460" spans="1:4" x14ac:dyDescent="0.25">
      <c r="A460" s="5">
        <f t="shared" si="69"/>
        <v>2002</v>
      </c>
      <c r="B460" s="5">
        <f t="shared" si="70"/>
        <v>40</v>
      </c>
      <c r="C460" s="2">
        <v>37533</v>
      </c>
      <c r="D460" s="1">
        <v>3080</v>
      </c>
    </row>
    <row r="461" spans="1:4" x14ac:dyDescent="0.25">
      <c r="A461" s="5">
        <f t="shared" si="69"/>
        <v>2002</v>
      </c>
      <c r="B461" s="5">
        <f t="shared" si="70"/>
        <v>41</v>
      </c>
      <c r="C461" s="2">
        <v>37540</v>
      </c>
      <c r="D461" s="1">
        <v>3128</v>
      </c>
    </row>
    <row r="462" spans="1:4" x14ac:dyDescent="0.25">
      <c r="A462" s="5">
        <f t="shared" si="69"/>
        <v>2002</v>
      </c>
      <c r="B462" s="5">
        <f t="shared" si="70"/>
        <v>42</v>
      </c>
      <c r="C462" s="2">
        <v>37547</v>
      </c>
      <c r="D462" s="1">
        <v>3161</v>
      </c>
    </row>
    <row r="463" spans="1:4" x14ac:dyDescent="0.25">
      <c r="A463" s="5">
        <f t="shared" si="69"/>
        <v>2002</v>
      </c>
      <c r="B463" s="5">
        <f t="shared" si="70"/>
        <v>43</v>
      </c>
      <c r="C463" s="2">
        <v>37554</v>
      </c>
      <c r="D463" s="1">
        <v>3172</v>
      </c>
    </row>
    <row r="464" spans="1:4" x14ac:dyDescent="0.25">
      <c r="A464" s="5">
        <f t="shared" si="69"/>
        <v>2002</v>
      </c>
      <c r="B464" s="5">
        <f t="shared" si="70"/>
        <v>44</v>
      </c>
      <c r="C464" s="2">
        <v>37561</v>
      </c>
      <c r="D464" s="1">
        <v>3145</v>
      </c>
    </row>
    <row r="465" spans="1:4" x14ac:dyDescent="0.25">
      <c r="A465" s="5">
        <f t="shared" si="69"/>
        <v>2002</v>
      </c>
      <c r="B465" s="5">
        <f t="shared" si="70"/>
        <v>45</v>
      </c>
      <c r="C465" s="2">
        <v>37568</v>
      </c>
      <c r="D465" s="1">
        <v>3097</v>
      </c>
    </row>
    <row r="466" spans="1:4" x14ac:dyDescent="0.25">
      <c r="A466" s="5">
        <f t="shared" si="69"/>
        <v>2002</v>
      </c>
      <c r="B466" s="5">
        <f t="shared" si="70"/>
        <v>46</v>
      </c>
      <c r="C466" s="2">
        <v>37575</v>
      </c>
      <c r="D466" s="1">
        <v>3096</v>
      </c>
    </row>
    <row r="467" spans="1:4" x14ac:dyDescent="0.25">
      <c r="A467" s="5">
        <f t="shared" si="69"/>
        <v>2002</v>
      </c>
      <c r="B467" s="5">
        <f t="shared" si="70"/>
        <v>47</v>
      </c>
      <c r="C467" s="2">
        <v>37582</v>
      </c>
      <c r="D467" s="1">
        <v>3047</v>
      </c>
    </row>
    <row r="468" spans="1:4" x14ac:dyDescent="0.25">
      <c r="A468" s="5">
        <f t="shared" si="69"/>
        <v>2002</v>
      </c>
      <c r="B468" s="5">
        <f t="shared" si="70"/>
        <v>48</v>
      </c>
      <c r="C468" s="2">
        <v>37589</v>
      </c>
      <c r="D468" s="1">
        <v>2956</v>
      </c>
    </row>
    <row r="469" spans="1:4" x14ac:dyDescent="0.25">
      <c r="A469" s="5">
        <f t="shared" si="69"/>
        <v>2002</v>
      </c>
      <c r="B469" s="5">
        <f t="shared" si="70"/>
        <v>49</v>
      </c>
      <c r="C469" s="2">
        <v>37596</v>
      </c>
      <c r="D469" s="1">
        <v>2794</v>
      </c>
    </row>
    <row r="470" spans="1:4" x14ac:dyDescent="0.25">
      <c r="A470" s="5">
        <f t="shared" si="69"/>
        <v>2002</v>
      </c>
      <c r="B470" s="5">
        <f t="shared" si="70"/>
        <v>50</v>
      </c>
      <c r="C470" s="2">
        <v>37603</v>
      </c>
      <c r="D470" s="1">
        <v>2635</v>
      </c>
    </row>
    <row r="471" spans="1:4" x14ac:dyDescent="0.25">
      <c r="A471" s="5">
        <f t="shared" si="69"/>
        <v>2002</v>
      </c>
      <c r="B471" s="5">
        <f t="shared" si="70"/>
        <v>51</v>
      </c>
      <c r="C471" s="2">
        <v>37610</v>
      </c>
      <c r="D471" s="1">
        <v>2540</v>
      </c>
    </row>
    <row r="472" spans="1:4" x14ac:dyDescent="0.25">
      <c r="A472" s="5">
        <f t="shared" si="69"/>
        <v>2002</v>
      </c>
      <c r="B472" s="5">
        <f t="shared" si="70"/>
        <v>52</v>
      </c>
      <c r="C472" s="2">
        <v>37617</v>
      </c>
      <c r="D472" s="1">
        <v>2417</v>
      </c>
    </row>
    <row r="473" spans="1:4" x14ac:dyDescent="0.25">
      <c r="A473" s="5">
        <f t="shared" si="69"/>
        <v>2003</v>
      </c>
      <c r="B473" s="5">
        <f t="shared" si="70"/>
        <v>1</v>
      </c>
      <c r="C473" s="2">
        <v>37624</v>
      </c>
      <c r="D473" s="1">
        <v>2331</v>
      </c>
    </row>
    <row r="474" spans="1:4" x14ac:dyDescent="0.25">
      <c r="A474" s="5">
        <f t="shared" si="69"/>
        <v>2003</v>
      </c>
      <c r="B474" s="5">
        <f t="shared" si="70"/>
        <v>2</v>
      </c>
      <c r="C474" s="2">
        <v>37631</v>
      </c>
      <c r="D474" s="1">
        <v>2195</v>
      </c>
    </row>
    <row r="475" spans="1:4" x14ac:dyDescent="0.25">
      <c r="A475" s="5">
        <f t="shared" si="69"/>
        <v>2003</v>
      </c>
      <c r="B475" s="5">
        <f t="shared" si="70"/>
        <v>3</v>
      </c>
      <c r="C475" s="2">
        <v>37638</v>
      </c>
      <c r="D475" s="1">
        <v>1976</v>
      </c>
    </row>
    <row r="476" spans="1:4" x14ac:dyDescent="0.25">
      <c r="A476" s="5">
        <f t="shared" si="69"/>
        <v>2003</v>
      </c>
      <c r="B476" s="5">
        <f t="shared" si="70"/>
        <v>4</v>
      </c>
      <c r="C476" s="2">
        <v>37645</v>
      </c>
      <c r="D476" s="1">
        <v>1729</v>
      </c>
    </row>
    <row r="477" spans="1:4" x14ac:dyDescent="0.25">
      <c r="A477" s="5">
        <f t="shared" si="69"/>
        <v>2003</v>
      </c>
      <c r="B477" s="5">
        <f t="shared" si="70"/>
        <v>5</v>
      </c>
      <c r="C477" s="2">
        <v>37652</v>
      </c>
      <c r="D477" s="1">
        <v>1521</v>
      </c>
    </row>
    <row r="478" spans="1:4" x14ac:dyDescent="0.25">
      <c r="A478" s="5">
        <f t="shared" si="69"/>
        <v>2003</v>
      </c>
      <c r="B478" s="5">
        <f t="shared" si="70"/>
        <v>6</v>
      </c>
      <c r="C478" s="2">
        <v>37659</v>
      </c>
      <c r="D478" s="1">
        <v>1371</v>
      </c>
    </row>
    <row r="479" spans="1:4" x14ac:dyDescent="0.25">
      <c r="A479" s="5">
        <f t="shared" si="69"/>
        <v>2003</v>
      </c>
      <c r="B479" s="5">
        <f t="shared" si="70"/>
        <v>7</v>
      </c>
      <c r="C479" s="2">
        <v>37666</v>
      </c>
      <c r="D479" s="1">
        <v>1168</v>
      </c>
    </row>
    <row r="480" spans="1:4" x14ac:dyDescent="0.25">
      <c r="A480" s="5">
        <f t="shared" si="69"/>
        <v>2003</v>
      </c>
      <c r="B480" s="5">
        <f t="shared" si="70"/>
        <v>8</v>
      </c>
      <c r="C480" s="2">
        <v>37673</v>
      </c>
      <c r="D480" s="1">
        <v>1014</v>
      </c>
    </row>
    <row r="481" spans="1:4" x14ac:dyDescent="0.25">
      <c r="A481" s="5">
        <f t="shared" si="69"/>
        <v>2003</v>
      </c>
      <c r="B481" s="5">
        <f t="shared" si="70"/>
        <v>9</v>
      </c>
      <c r="C481" s="2">
        <v>37680</v>
      </c>
      <c r="D481" s="1">
        <v>838</v>
      </c>
    </row>
    <row r="482" spans="1:4" x14ac:dyDescent="0.25">
      <c r="A482" s="5">
        <f t="shared" si="69"/>
        <v>2003</v>
      </c>
      <c r="B482" s="5">
        <f t="shared" si="70"/>
        <v>10</v>
      </c>
      <c r="C482" s="2">
        <v>37687</v>
      </c>
      <c r="D482" s="1">
        <v>736</v>
      </c>
    </row>
    <row r="483" spans="1:4" x14ac:dyDescent="0.25">
      <c r="A483" s="5">
        <f t="shared" si="69"/>
        <v>2003</v>
      </c>
      <c r="B483" s="5">
        <f t="shared" si="70"/>
        <v>11</v>
      </c>
      <c r="C483" s="2">
        <v>37694</v>
      </c>
      <c r="D483" s="1">
        <v>654</v>
      </c>
    </row>
    <row r="484" spans="1:4" x14ac:dyDescent="0.25">
      <c r="A484" s="5">
        <f t="shared" si="69"/>
        <v>2003</v>
      </c>
      <c r="B484" s="5">
        <f t="shared" si="70"/>
        <v>12</v>
      </c>
      <c r="C484" s="2">
        <v>37701</v>
      </c>
      <c r="D484" s="1">
        <v>660</v>
      </c>
    </row>
    <row r="485" spans="1:4" x14ac:dyDescent="0.25">
      <c r="A485" s="5">
        <f t="shared" si="69"/>
        <v>2003</v>
      </c>
      <c r="B485" s="5">
        <f t="shared" si="70"/>
        <v>13</v>
      </c>
      <c r="C485" s="2">
        <v>37708</v>
      </c>
      <c r="D485" s="1">
        <v>696</v>
      </c>
    </row>
    <row r="486" spans="1:4" x14ac:dyDescent="0.25">
      <c r="A486" s="5">
        <f t="shared" si="69"/>
        <v>2003</v>
      </c>
      <c r="B486" s="5">
        <f t="shared" si="70"/>
        <v>14</v>
      </c>
      <c r="C486" s="2">
        <v>37715</v>
      </c>
      <c r="D486" s="1">
        <v>688</v>
      </c>
    </row>
    <row r="487" spans="1:4" x14ac:dyDescent="0.25">
      <c r="A487" s="5">
        <f t="shared" si="69"/>
        <v>2003</v>
      </c>
      <c r="B487" s="5">
        <f t="shared" si="70"/>
        <v>15</v>
      </c>
      <c r="C487" s="2">
        <v>37722</v>
      </c>
      <c r="D487" s="1">
        <v>642</v>
      </c>
    </row>
    <row r="488" spans="1:4" x14ac:dyDescent="0.25">
      <c r="A488" s="5">
        <f t="shared" si="69"/>
        <v>2003</v>
      </c>
      <c r="B488" s="5">
        <f t="shared" si="70"/>
        <v>16</v>
      </c>
      <c r="C488" s="2">
        <v>37729</v>
      </c>
      <c r="D488" s="1">
        <v>702</v>
      </c>
    </row>
    <row r="489" spans="1:4" x14ac:dyDescent="0.25">
      <c r="A489" s="5">
        <f t="shared" si="69"/>
        <v>2003</v>
      </c>
      <c r="B489" s="5">
        <f t="shared" si="70"/>
        <v>17</v>
      </c>
      <c r="C489" s="2">
        <v>37736</v>
      </c>
      <c r="D489" s="1">
        <v>754</v>
      </c>
    </row>
    <row r="490" spans="1:4" x14ac:dyDescent="0.25">
      <c r="A490" s="5">
        <f t="shared" si="69"/>
        <v>2003</v>
      </c>
      <c r="B490" s="5">
        <f t="shared" si="70"/>
        <v>18</v>
      </c>
      <c r="C490" s="2">
        <v>37743</v>
      </c>
      <c r="D490" s="1">
        <v>836</v>
      </c>
    </row>
    <row r="491" spans="1:4" x14ac:dyDescent="0.25">
      <c r="A491" s="5">
        <f t="shared" si="69"/>
        <v>2003</v>
      </c>
      <c r="B491" s="5">
        <f t="shared" si="70"/>
        <v>19</v>
      </c>
      <c r="C491" s="2">
        <v>37750</v>
      </c>
      <c r="D491" s="1">
        <v>900</v>
      </c>
    </row>
    <row r="492" spans="1:4" x14ac:dyDescent="0.25">
      <c r="A492" s="5">
        <f t="shared" si="69"/>
        <v>2003</v>
      </c>
      <c r="B492" s="5">
        <f t="shared" si="70"/>
        <v>20</v>
      </c>
      <c r="C492" s="2">
        <v>37757</v>
      </c>
      <c r="D492" s="1">
        <v>990</v>
      </c>
    </row>
    <row r="493" spans="1:4" x14ac:dyDescent="0.25">
      <c r="A493" s="5">
        <f t="shared" si="69"/>
        <v>2003</v>
      </c>
      <c r="B493" s="5">
        <f t="shared" si="70"/>
        <v>21</v>
      </c>
      <c r="C493" s="2">
        <v>37764</v>
      </c>
      <c r="D493" s="1">
        <v>1085</v>
      </c>
    </row>
    <row r="494" spans="1:4" x14ac:dyDescent="0.25">
      <c r="A494" s="5">
        <f t="shared" si="69"/>
        <v>2003</v>
      </c>
      <c r="B494" s="5">
        <f t="shared" si="70"/>
        <v>22</v>
      </c>
      <c r="C494" s="2">
        <v>37771</v>
      </c>
      <c r="D494" s="1">
        <v>1199</v>
      </c>
    </row>
    <row r="495" spans="1:4" x14ac:dyDescent="0.25">
      <c r="A495" s="5">
        <f t="shared" si="69"/>
        <v>2003</v>
      </c>
      <c r="B495" s="5">
        <f t="shared" si="70"/>
        <v>23</v>
      </c>
      <c r="C495" s="2">
        <v>37778</v>
      </c>
      <c r="D495" s="1">
        <v>1324</v>
      </c>
    </row>
    <row r="496" spans="1:4" x14ac:dyDescent="0.25">
      <c r="A496" s="5">
        <f t="shared" si="69"/>
        <v>2003</v>
      </c>
      <c r="B496" s="5">
        <f t="shared" si="70"/>
        <v>24</v>
      </c>
      <c r="C496" s="2">
        <v>37785</v>
      </c>
      <c r="D496" s="1">
        <v>1438</v>
      </c>
    </row>
    <row r="497" spans="1:4" x14ac:dyDescent="0.25">
      <c r="A497" s="5">
        <f t="shared" si="69"/>
        <v>2003</v>
      </c>
      <c r="B497" s="5">
        <f t="shared" si="70"/>
        <v>25</v>
      </c>
      <c r="C497" s="2">
        <v>37792</v>
      </c>
      <c r="D497" s="1">
        <v>1565</v>
      </c>
    </row>
    <row r="498" spans="1:4" x14ac:dyDescent="0.25">
      <c r="A498" s="5">
        <f t="shared" si="69"/>
        <v>2003</v>
      </c>
      <c r="B498" s="5">
        <f t="shared" si="70"/>
        <v>26</v>
      </c>
      <c r="C498" s="2">
        <v>37799</v>
      </c>
      <c r="D498" s="1">
        <v>1662</v>
      </c>
    </row>
    <row r="499" spans="1:4" x14ac:dyDescent="0.25">
      <c r="A499" s="5">
        <f t="shared" si="69"/>
        <v>2003</v>
      </c>
      <c r="B499" s="5">
        <f t="shared" si="70"/>
        <v>27</v>
      </c>
      <c r="C499" s="2">
        <v>37806</v>
      </c>
      <c r="D499" s="1">
        <v>1809</v>
      </c>
    </row>
    <row r="500" spans="1:4" x14ac:dyDescent="0.25">
      <c r="A500" s="5">
        <f t="shared" si="69"/>
        <v>2003</v>
      </c>
      <c r="B500" s="5">
        <f t="shared" si="70"/>
        <v>28</v>
      </c>
      <c r="C500" s="2">
        <v>37813</v>
      </c>
      <c r="D500" s="1">
        <v>1904</v>
      </c>
    </row>
    <row r="501" spans="1:4" x14ac:dyDescent="0.25">
      <c r="A501" s="5">
        <f t="shared" si="69"/>
        <v>2003</v>
      </c>
      <c r="B501" s="5">
        <f t="shared" si="70"/>
        <v>29</v>
      </c>
      <c r="C501" s="2">
        <v>37820</v>
      </c>
      <c r="D501" s="1">
        <v>1981</v>
      </c>
    </row>
    <row r="502" spans="1:4" x14ac:dyDescent="0.25">
      <c r="A502" s="5">
        <f t="shared" si="69"/>
        <v>2003</v>
      </c>
      <c r="B502" s="5">
        <f t="shared" si="70"/>
        <v>30</v>
      </c>
      <c r="C502" s="2">
        <v>37827</v>
      </c>
      <c r="D502" s="1">
        <v>2062</v>
      </c>
    </row>
    <row r="503" spans="1:4" x14ac:dyDescent="0.25">
      <c r="A503" s="5">
        <f t="shared" si="69"/>
        <v>2003</v>
      </c>
      <c r="B503" s="5">
        <f t="shared" si="70"/>
        <v>31</v>
      </c>
      <c r="C503" s="2">
        <v>37834</v>
      </c>
      <c r="D503" s="1">
        <v>2138</v>
      </c>
    </row>
    <row r="504" spans="1:4" x14ac:dyDescent="0.25">
      <c r="A504" s="5">
        <f t="shared" si="69"/>
        <v>2003</v>
      </c>
      <c r="B504" s="5">
        <f t="shared" si="70"/>
        <v>32</v>
      </c>
      <c r="C504" s="2">
        <v>37841</v>
      </c>
      <c r="D504" s="1">
        <v>2222</v>
      </c>
    </row>
    <row r="505" spans="1:4" x14ac:dyDescent="0.25">
      <c r="A505" s="5">
        <f t="shared" si="69"/>
        <v>2003</v>
      </c>
      <c r="B505" s="5">
        <f t="shared" si="70"/>
        <v>33</v>
      </c>
      <c r="C505" s="2">
        <v>37848</v>
      </c>
      <c r="D505" s="1">
        <v>2299</v>
      </c>
    </row>
    <row r="506" spans="1:4" x14ac:dyDescent="0.25">
      <c r="A506" s="5">
        <f t="shared" si="69"/>
        <v>2003</v>
      </c>
      <c r="B506" s="5">
        <f t="shared" si="70"/>
        <v>34</v>
      </c>
      <c r="C506" s="2">
        <v>37855</v>
      </c>
      <c r="D506" s="1">
        <v>2352</v>
      </c>
    </row>
    <row r="507" spans="1:4" x14ac:dyDescent="0.25">
      <c r="A507" s="5">
        <f t="shared" si="69"/>
        <v>2003</v>
      </c>
      <c r="B507" s="5">
        <f t="shared" si="70"/>
        <v>35</v>
      </c>
      <c r="C507" s="2">
        <v>37862</v>
      </c>
      <c r="D507" s="1">
        <v>2419</v>
      </c>
    </row>
    <row r="508" spans="1:4" x14ac:dyDescent="0.25">
      <c r="A508" s="5">
        <f t="shared" si="69"/>
        <v>2003</v>
      </c>
      <c r="B508" s="5">
        <f t="shared" si="70"/>
        <v>36</v>
      </c>
      <c r="C508" s="2">
        <v>37869</v>
      </c>
      <c r="D508" s="1">
        <v>2518</v>
      </c>
    </row>
    <row r="509" spans="1:4" x14ac:dyDescent="0.25">
      <c r="A509" s="5">
        <f t="shared" si="69"/>
        <v>2003</v>
      </c>
      <c r="B509" s="5">
        <f t="shared" si="70"/>
        <v>37</v>
      </c>
      <c r="C509" s="2">
        <v>37876</v>
      </c>
      <c r="D509" s="1">
        <v>2619</v>
      </c>
    </row>
    <row r="510" spans="1:4" x14ac:dyDescent="0.25">
      <c r="A510" s="5">
        <f t="shared" si="69"/>
        <v>2003</v>
      </c>
      <c r="B510" s="5">
        <f t="shared" si="70"/>
        <v>38</v>
      </c>
      <c r="C510" s="2">
        <v>37883</v>
      </c>
      <c r="D510" s="1">
        <v>2719</v>
      </c>
    </row>
    <row r="511" spans="1:4" x14ac:dyDescent="0.25">
      <c r="A511" s="5">
        <f t="shared" si="69"/>
        <v>2003</v>
      </c>
      <c r="B511" s="5">
        <f t="shared" si="70"/>
        <v>39</v>
      </c>
      <c r="C511" s="2">
        <v>37890</v>
      </c>
      <c r="D511" s="1">
        <v>2820</v>
      </c>
    </row>
    <row r="512" spans="1:4" x14ac:dyDescent="0.25">
      <c r="A512" s="5">
        <f t="shared" si="69"/>
        <v>2003</v>
      </c>
      <c r="B512" s="5">
        <f t="shared" si="70"/>
        <v>40</v>
      </c>
      <c r="C512" s="2">
        <v>37897</v>
      </c>
      <c r="D512" s="1">
        <v>2904</v>
      </c>
    </row>
    <row r="513" spans="1:4" x14ac:dyDescent="0.25">
      <c r="A513" s="5">
        <f t="shared" si="69"/>
        <v>2003</v>
      </c>
      <c r="B513" s="5">
        <f t="shared" si="70"/>
        <v>41</v>
      </c>
      <c r="C513" s="2">
        <v>37904</v>
      </c>
      <c r="D513" s="1">
        <v>2981</v>
      </c>
    </row>
    <row r="514" spans="1:4" x14ac:dyDescent="0.25">
      <c r="A514" s="5">
        <f t="shared" si="69"/>
        <v>2003</v>
      </c>
      <c r="B514" s="5">
        <f t="shared" si="70"/>
        <v>42</v>
      </c>
      <c r="C514" s="2">
        <v>37911</v>
      </c>
      <c r="D514" s="1">
        <v>3066</v>
      </c>
    </row>
    <row r="515" spans="1:4" x14ac:dyDescent="0.25">
      <c r="A515" s="5">
        <f t="shared" ref="A515:A578" si="71">YEAR(C515)</f>
        <v>2003</v>
      </c>
      <c r="B515" s="5">
        <f t="shared" ref="B515:B578" si="72">WEEKNUM(C515)</f>
        <v>43</v>
      </c>
      <c r="C515" s="2">
        <v>37918</v>
      </c>
      <c r="D515" s="1">
        <v>3121</v>
      </c>
    </row>
    <row r="516" spans="1:4" x14ac:dyDescent="0.25">
      <c r="A516" s="5">
        <f t="shared" si="71"/>
        <v>2003</v>
      </c>
      <c r="B516" s="5">
        <f t="shared" si="72"/>
        <v>44</v>
      </c>
      <c r="C516" s="2">
        <v>37925</v>
      </c>
      <c r="D516" s="1">
        <v>3155</v>
      </c>
    </row>
    <row r="517" spans="1:4" x14ac:dyDescent="0.25">
      <c r="A517" s="5">
        <f t="shared" si="71"/>
        <v>2003</v>
      </c>
      <c r="B517" s="5">
        <f t="shared" si="72"/>
        <v>45</v>
      </c>
      <c r="C517" s="2">
        <v>37932</v>
      </c>
      <c r="D517" s="1">
        <v>3187</v>
      </c>
    </row>
    <row r="518" spans="1:4" x14ac:dyDescent="0.25">
      <c r="A518" s="5">
        <f t="shared" si="71"/>
        <v>2003</v>
      </c>
      <c r="B518" s="5">
        <f t="shared" si="72"/>
        <v>46</v>
      </c>
      <c r="C518" s="2">
        <v>37939</v>
      </c>
      <c r="D518" s="1">
        <v>3155</v>
      </c>
    </row>
    <row r="519" spans="1:4" x14ac:dyDescent="0.25">
      <c r="A519" s="5">
        <f t="shared" si="71"/>
        <v>2003</v>
      </c>
      <c r="B519" s="5">
        <f t="shared" si="72"/>
        <v>47</v>
      </c>
      <c r="C519" s="2">
        <v>37946</v>
      </c>
      <c r="D519" s="1">
        <v>3154</v>
      </c>
    </row>
    <row r="520" spans="1:4" x14ac:dyDescent="0.25">
      <c r="A520" s="5">
        <f t="shared" si="71"/>
        <v>2003</v>
      </c>
      <c r="B520" s="5">
        <f t="shared" si="72"/>
        <v>48</v>
      </c>
      <c r="C520" s="2">
        <v>37953</v>
      </c>
      <c r="D520" s="1">
        <v>3095</v>
      </c>
    </row>
    <row r="521" spans="1:4" x14ac:dyDescent="0.25">
      <c r="A521" s="5">
        <f t="shared" si="71"/>
        <v>2003</v>
      </c>
      <c r="B521" s="5">
        <f t="shared" si="72"/>
        <v>49</v>
      </c>
      <c r="C521" s="2">
        <v>37960</v>
      </c>
      <c r="D521" s="1">
        <v>2984</v>
      </c>
    </row>
    <row r="522" spans="1:4" x14ac:dyDescent="0.25">
      <c r="A522" s="5">
        <f t="shared" si="71"/>
        <v>2003</v>
      </c>
      <c r="B522" s="5">
        <f t="shared" si="72"/>
        <v>50</v>
      </c>
      <c r="C522" s="2">
        <v>37967</v>
      </c>
      <c r="D522" s="1">
        <v>2850</v>
      </c>
    </row>
    <row r="523" spans="1:4" x14ac:dyDescent="0.25">
      <c r="A523" s="5">
        <f t="shared" si="71"/>
        <v>2003</v>
      </c>
      <c r="B523" s="5">
        <f t="shared" si="72"/>
        <v>51</v>
      </c>
      <c r="C523" s="2">
        <v>37974</v>
      </c>
      <c r="D523" s="1">
        <v>2699</v>
      </c>
    </row>
    <row r="524" spans="1:4" x14ac:dyDescent="0.25">
      <c r="A524" s="5">
        <f t="shared" si="71"/>
        <v>2003</v>
      </c>
      <c r="B524" s="5">
        <f t="shared" si="72"/>
        <v>52</v>
      </c>
      <c r="C524" s="2">
        <v>37981</v>
      </c>
      <c r="D524" s="1">
        <v>2619</v>
      </c>
    </row>
    <row r="525" spans="1:4" x14ac:dyDescent="0.25">
      <c r="A525" s="5">
        <f t="shared" si="71"/>
        <v>2004</v>
      </c>
      <c r="B525" s="5">
        <f t="shared" si="72"/>
        <v>1</v>
      </c>
      <c r="C525" s="2">
        <v>37988</v>
      </c>
      <c r="D525" s="1">
        <v>2567</v>
      </c>
    </row>
    <row r="526" spans="1:4" x14ac:dyDescent="0.25">
      <c r="A526" s="5">
        <f t="shared" si="71"/>
        <v>2004</v>
      </c>
      <c r="B526" s="5">
        <f t="shared" si="72"/>
        <v>2</v>
      </c>
      <c r="C526" s="2">
        <v>37995</v>
      </c>
      <c r="D526" s="1">
        <v>2414</v>
      </c>
    </row>
    <row r="527" spans="1:4" x14ac:dyDescent="0.25">
      <c r="A527" s="5">
        <f t="shared" si="71"/>
        <v>2004</v>
      </c>
      <c r="B527" s="5">
        <f t="shared" si="72"/>
        <v>3</v>
      </c>
      <c r="C527" s="2">
        <v>38002</v>
      </c>
      <c r="D527" s="1">
        <v>2258</v>
      </c>
    </row>
    <row r="528" spans="1:4" x14ac:dyDescent="0.25">
      <c r="A528" s="5">
        <f t="shared" si="71"/>
        <v>2004</v>
      </c>
      <c r="B528" s="5">
        <f t="shared" si="72"/>
        <v>4</v>
      </c>
      <c r="C528" s="2">
        <v>38009</v>
      </c>
      <c r="D528" s="1">
        <v>2063</v>
      </c>
    </row>
    <row r="529" spans="1:4" x14ac:dyDescent="0.25">
      <c r="A529" s="5">
        <f t="shared" si="71"/>
        <v>2004</v>
      </c>
      <c r="B529" s="5">
        <f t="shared" si="72"/>
        <v>5</v>
      </c>
      <c r="C529" s="2">
        <v>38016</v>
      </c>
      <c r="D529" s="1">
        <v>1827</v>
      </c>
    </row>
    <row r="530" spans="1:4" x14ac:dyDescent="0.25">
      <c r="A530" s="5">
        <f t="shared" si="71"/>
        <v>2004</v>
      </c>
      <c r="B530" s="5">
        <f t="shared" si="72"/>
        <v>6</v>
      </c>
      <c r="C530" s="2">
        <v>38023</v>
      </c>
      <c r="D530" s="1">
        <v>1603</v>
      </c>
    </row>
    <row r="531" spans="1:4" x14ac:dyDescent="0.25">
      <c r="A531" s="5">
        <f t="shared" si="71"/>
        <v>2004</v>
      </c>
      <c r="B531" s="5">
        <f t="shared" si="72"/>
        <v>7</v>
      </c>
      <c r="C531" s="2">
        <v>38030</v>
      </c>
      <c r="D531" s="1">
        <v>1431</v>
      </c>
    </row>
    <row r="532" spans="1:4" x14ac:dyDescent="0.25">
      <c r="A532" s="5">
        <f t="shared" si="71"/>
        <v>2004</v>
      </c>
      <c r="B532" s="5">
        <f t="shared" si="72"/>
        <v>8</v>
      </c>
      <c r="C532" s="2">
        <v>38037</v>
      </c>
      <c r="D532" s="1">
        <v>1267</v>
      </c>
    </row>
    <row r="533" spans="1:4" x14ac:dyDescent="0.25">
      <c r="A533" s="5">
        <f t="shared" si="71"/>
        <v>2004</v>
      </c>
      <c r="B533" s="5">
        <f t="shared" si="72"/>
        <v>9</v>
      </c>
      <c r="C533" s="2">
        <v>38044</v>
      </c>
      <c r="D533" s="1">
        <v>1171</v>
      </c>
    </row>
    <row r="534" spans="1:4" x14ac:dyDescent="0.25">
      <c r="A534" s="5">
        <f t="shared" si="71"/>
        <v>2004</v>
      </c>
      <c r="B534" s="5">
        <f t="shared" si="72"/>
        <v>10</v>
      </c>
      <c r="C534" s="2">
        <v>38051</v>
      </c>
      <c r="D534" s="1">
        <v>1143</v>
      </c>
    </row>
    <row r="535" spans="1:4" x14ac:dyDescent="0.25">
      <c r="A535" s="5">
        <f t="shared" si="71"/>
        <v>2004</v>
      </c>
      <c r="B535" s="5">
        <f t="shared" si="72"/>
        <v>11</v>
      </c>
      <c r="C535" s="2">
        <v>38058</v>
      </c>
      <c r="D535" s="1">
        <v>1097</v>
      </c>
    </row>
    <row r="536" spans="1:4" x14ac:dyDescent="0.25">
      <c r="A536" s="5">
        <f t="shared" si="71"/>
        <v>2004</v>
      </c>
      <c r="B536" s="5">
        <f t="shared" si="72"/>
        <v>12</v>
      </c>
      <c r="C536" s="2">
        <v>38065</v>
      </c>
      <c r="D536" s="1">
        <v>1032</v>
      </c>
    </row>
    <row r="537" spans="1:4" x14ac:dyDescent="0.25">
      <c r="A537" s="5">
        <f t="shared" si="71"/>
        <v>2004</v>
      </c>
      <c r="B537" s="5">
        <f t="shared" si="72"/>
        <v>13</v>
      </c>
      <c r="C537" s="2">
        <v>38072</v>
      </c>
      <c r="D537" s="1">
        <v>1014</v>
      </c>
    </row>
    <row r="538" spans="1:4" x14ac:dyDescent="0.25">
      <c r="A538" s="5">
        <f t="shared" si="71"/>
        <v>2004</v>
      </c>
      <c r="B538" s="5">
        <f t="shared" si="72"/>
        <v>14</v>
      </c>
      <c r="C538" s="2">
        <v>38079</v>
      </c>
      <c r="D538" s="1">
        <v>1034</v>
      </c>
    </row>
    <row r="539" spans="1:4" x14ac:dyDescent="0.25">
      <c r="A539" s="5">
        <f t="shared" si="71"/>
        <v>2004</v>
      </c>
      <c r="B539" s="5">
        <f t="shared" si="72"/>
        <v>15</v>
      </c>
      <c r="C539" s="2">
        <v>38086</v>
      </c>
      <c r="D539" s="1">
        <v>1049</v>
      </c>
    </row>
    <row r="540" spans="1:4" x14ac:dyDescent="0.25">
      <c r="A540" s="5">
        <f t="shared" si="71"/>
        <v>2004</v>
      </c>
      <c r="B540" s="5">
        <f t="shared" si="72"/>
        <v>16</v>
      </c>
      <c r="C540" s="2">
        <v>38093</v>
      </c>
      <c r="D540" s="1">
        <v>1077</v>
      </c>
    </row>
    <row r="541" spans="1:4" x14ac:dyDescent="0.25">
      <c r="A541" s="5">
        <f t="shared" si="71"/>
        <v>2004</v>
      </c>
      <c r="B541" s="5">
        <f t="shared" si="72"/>
        <v>17</v>
      </c>
      <c r="C541" s="2">
        <v>38100</v>
      </c>
      <c r="D541" s="1">
        <v>1155</v>
      </c>
    </row>
    <row r="542" spans="1:4" x14ac:dyDescent="0.25">
      <c r="A542" s="5">
        <f t="shared" si="71"/>
        <v>2004</v>
      </c>
      <c r="B542" s="5">
        <f t="shared" si="72"/>
        <v>18</v>
      </c>
      <c r="C542" s="2">
        <v>38107</v>
      </c>
      <c r="D542" s="1">
        <v>1227</v>
      </c>
    </row>
    <row r="543" spans="1:4" x14ac:dyDescent="0.25">
      <c r="A543" s="5">
        <f t="shared" si="71"/>
        <v>2004</v>
      </c>
      <c r="B543" s="5">
        <f t="shared" si="72"/>
        <v>19</v>
      </c>
      <c r="C543" s="2">
        <v>38114</v>
      </c>
      <c r="D543" s="1">
        <v>1303</v>
      </c>
    </row>
    <row r="544" spans="1:4" x14ac:dyDescent="0.25">
      <c r="A544" s="5">
        <f t="shared" si="71"/>
        <v>2004</v>
      </c>
      <c r="B544" s="5">
        <f t="shared" si="72"/>
        <v>20</v>
      </c>
      <c r="C544" s="2">
        <v>38121</v>
      </c>
      <c r="D544" s="1">
        <v>1388</v>
      </c>
    </row>
    <row r="545" spans="1:4" x14ac:dyDescent="0.25">
      <c r="A545" s="5">
        <f t="shared" si="71"/>
        <v>2004</v>
      </c>
      <c r="B545" s="5">
        <f t="shared" si="72"/>
        <v>21</v>
      </c>
      <c r="C545" s="2">
        <v>38128</v>
      </c>
      <c r="D545" s="1">
        <v>1477</v>
      </c>
    </row>
    <row r="546" spans="1:4" x14ac:dyDescent="0.25">
      <c r="A546" s="5">
        <f t="shared" si="71"/>
        <v>2004</v>
      </c>
      <c r="B546" s="5">
        <f t="shared" si="72"/>
        <v>22</v>
      </c>
      <c r="C546" s="2">
        <v>38135</v>
      </c>
      <c r="D546" s="1">
        <v>1564</v>
      </c>
    </row>
    <row r="547" spans="1:4" x14ac:dyDescent="0.25">
      <c r="A547" s="5">
        <f t="shared" si="71"/>
        <v>2004</v>
      </c>
      <c r="B547" s="5">
        <f t="shared" si="72"/>
        <v>23</v>
      </c>
      <c r="C547" s="2">
        <v>38142</v>
      </c>
      <c r="D547" s="1">
        <v>1666</v>
      </c>
    </row>
    <row r="548" spans="1:4" x14ac:dyDescent="0.25">
      <c r="A548" s="5">
        <f t="shared" si="71"/>
        <v>2004</v>
      </c>
      <c r="B548" s="5">
        <f t="shared" si="72"/>
        <v>24</v>
      </c>
      <c r="C548" s="2">
        <v>38149</v>
      </c>
      <c r="D548" s="1">
        <v>1760</v>
      </c>
    </row>
    <row r="549" spans="1:4" x14ac:dyDescent="0.25">
      <c r="A549" s="5">
        <f t="shared" si="71"/>
        <v>2004</v>
      </c>
      <c r="B549" s="5">
        <f t="shared" si="72"/>
        <v>25</v>
      </c>
      <c r="C549" s="2">
        <v>38156</v>
      </c>
      <c r="D549" s="1">
        <v>1845</v>
      </c>
    </row>
    <row r="550" spans="1:4" x14ac:dyDescent="0.25">
      <c r="A550" s="5">
        <f t="shared" si="71"/>
        <v>2004</v>
      </c>
      <c r="B550" s="5">
        <f t="shared" si="72"/>
        <v>26</v>
      </c>
      <c r="C550" s="2">
        <v>38163</v>
      </c>
      <c r="D550" s="1">
        <v>1938</v>
      </c>
    </row>
    <row r="551" spans="1:4" x14ac:dyDescent="0.25">
      <c r="A551" s="5">
        <f t="shared" si="71"/>
        <v>2004</v>
      </c>
      <c r="B551" s="5">
        <f t="shared" si="72"/>
        <v>27</v>
      </c>
      <c r="C551" s="2">
        <v>38170</v>
      </c>
      <c r="D551" s="1">
        <v>2047</v>
      </c>
    </row>
    <row r="552" spans="1:4" x14ac:dyDescent="0.25">
      <c r="A552" s="5">
        <f t="shared" si="71"/>
        <v>2004</v>
      </c>
      <c r="B552" s="5">
        <f t="shared" si="72"/>
        <v>28</v>
      </c>
      <c r="C552" s="2">
        <v>38177</v>
      </c>
      <c r="D552" s="1">
        <v>2155</v>
      </c>
    </row>
    <row r="553" spans="1:4" x14ac:dyDescent="0.25">
      <c r="A553" s="5">
        <f t="shared" si="71"/>
        <v>2004</v>
      </c>
      <c r="B553" s="5">
        <f t="shared" si="72"/>
        <v>29</v>
      </c>
      <c r="C553" s="2">
        <v>38184</v>
      </c>
      <c r="D553" s="1">
        <v>2227</v>
      </c>
    </row>
    <row r="554" spans="1:4" x14ac:dyDescent="0.25">
      <c r="A554" s="5">
        <f t="shared" si="71"/>
        <v>2004</v>
      </c>
      <c r="B554" s="5">
        <f t="shared" si="72"/>
        <v>30</v>
      </c>
      <c r="C554" s="2">
        <v>38191</v>
      </c>
      <c r="D554" s="1">
        <v>2297</v>
      </c>
    </row>
    <row r="555" spans="1:4" x14ac:dyDescent="0.25">
      <c r="A555" s="5">
        <f t="shared" si="71"/>
        <v>2004</v>
      </c>
      <c r="B555" s="5">
        <f t="shared" si="72"/>
        <v>31</v>
      </c>
      <c r="C555" s="2">
        <v>38198</v>
      </c>
      <c r="D555" s="1">
        <v>2380</v>
      </c>
    </row>
    <row r="556" spans="1:4" x14ac:dyDescent="0.25">
      <c r="A556" s="5">
        <f t="shared" si="71"/>
        <v>2004</v>
      </c>
      <c r="B556" s="5">
        <f t="shared" si="72"/>
        <v>32</v>
      </c>
      <c r="C556" s="2">
        <v>38205</v>
      </c>
      <c r="D556" s="1">
        <v>2452</v>
      </c>
    </row>
    <row r="557" spans="1:4" x14ac:dyDescent="0.25">
      <c r="A557" s="5">
        <f t="shared" si="71"/>
        <v>2004</v>
      </c>
      <c r="B557" s="5">
        <f t="shared" si="72"/>
        <v>33</v>
      </c>
      <c r="C557" s="2">
        <v>38212</v>
      </c>
      <c r="D557" s="1">
        <v>2530</v>
      </c>
    </row>
    <row r="558" spans="1:4" x14ac:dyDescent="0.25">
      <c r="A558" s="5">
        <f t="shared" si="71"/>
        <v>2004</v>
      </c>
      <c r="B558" s="5">
        <f t="shared" si="72"/>
        <v>34</v>
      </c>
      <c r="C558" s="2">
        <v>38219</v>
      </c>
      <c r="D558" s="1">
        <v>2614</v>
      </c>
    </row>
    <row r="559" spans="1:4" x14ac:dyDescent="0.25">
      <c r="A559" s="5">
        <f t="shared" si="71"/>
        <v>2004</v>
      </c>
      <c r="B559" s="5">
        <f t="shared" si="72"/>
        <v>35</v>
      </c>
      <c r="C559" s="2">
        <v>38226</v>
      </c>
      <c r="D559" s="1">
        <v>2695</v>
      </c>
    </row>
    <row r="560" spans="1:4" x14ac:dyDescent="0.25">
      <c r="A560" s="5">
        <f t="shared" si="71"/>
        <v>2004</v>
      </c>
      <c r="B560" s="5">
        <f t="shared" si="72"/>
        <v>36</v>
      </c>
      <c r="C560" s="2">
        <v>38233</v>
      </c>
      <c r="D560" s="1">
        <v>2775</v>
      </c>
    </row>
    <row r="561" spans="1:4" x14ac:dyDescent="0.25">
      <c r="A561" s="5">
        <f t="shared" si="71"/>
        <v>2004</v>
      </c>
      <c r="B561" s="5">
        <f t="shared" si="72"/>
        <v>37</v>
      </c>
      <c r="C561" s="2">
        <v>38240</v>
      </c>
      <c r="D561" s="1">
        <v>2874</v>
      </c>
    </row>
    <row r="562" spans="1:4" x14ac:dyDescent="0.25">
      <c r="A562" s="5">
        <f t="shared" si="71"/>
        <v>2004</v>
      </c>
      <c r="B562" s="5">
        <f t="shared" si="72"/>
        <v>38</v>
      </c>
      <c r="C562" s="2">
        <v>38247</v>
      </c>
      <c r="D562" s="1">
        <v>2942</v>
      </c>
    </row>
    <row r="563" spans="1:4" x14ac:dyDescent="0.25">
      <c r="A563" s="5">
        <f t="shared" si="71"/>
        <v>2004</v>
      </c>
      <c r="B563" s="5">
        <f t="shared" si="72"/>
        <v>39</v>
      </c>
      <c r="C563" s="2">
        <v>38254</v>
      </c>
      <c r="D563" s="1">
        <v>3011</v>
      </c>
    </row>
    <row r="564" spans="1:4" x14ac:dyDescent="0.25">
      <c r="A564" s="5">
        <f t="shared" si="71"/>
        <v>2004</v>
      </c>
      <c r="B564" s="5">
        <f t="shared" si="72"/>
        <v>40</v>
      </c>
      <c r="C564" s="2">
        <v>38261</v>
      </c>
      <c r="D564" s="1">
        <v>3092</v>
      </c>
    </row>
    <row r="565" spans="1:4" x14ac:dyDescent="0.25">
      <c r="A565" s="5">
        <f t="shared" si="71"/>
        <v>2004</v>
      </c>
      <c r="B565" s="5">
        <f t="shared" si="72"/>
        <v>41</v>
      </c>
      <c r="C565" s="2">
        <v>38268</v>
      </c>
      <c r="D565" s="1">
        <v>3159</v>
      </c>
    </row>
    <row r="566" spans="1:4" x14ac:dyDescent="0.25">
      <c r="A566" s="5">
        <f t="shared" si="71"/>
        <v>2004</v>
      </c>
      <c r="B566" s="5">
        <f t="shared" si="72"/>
        <v>42</v>
      </c>
      <c r="C566" s="2">
        <v>38275</v>
      </c>
      <c r="D566" s="1">
        <v>3223</v>
      </c>
    </row>
    <row r="567" spans="1:4" x14ac:dyDescent="0.25">
      <c r="A567" s="5">
        <f t="shared" si="71"/>
        <v>2004</v>
      </c>
      <c r="B567" s="5">
        <f t="shared" si="72"/>
        <v>43</v>
      </c>
      <c r="C567" s="2">
        <v>38282</v>
      </c>
      <c r="D567" s="1">
        <v>3249</v>
      </c>
    </row>
    <row r="568" spans="1:4" x14ac:dyDescent="0.25">
      <c r="A568" s="5">
        <f t="shared" si="71"/>
        <v>2004</v>
      </c>
      <c r="B568" s="5">
        <f t="shared" si="72"/>
        <v>44</v>
      </c>
      <c r="C568" s="2">
        <v>38289</v>
      </c>
      <c r="D568" s="1">
        <v>3293</v>
      </c>
    </row>
    <row r="569" spans="1:4" x14ac:dyDescent="0.25">
      <c r="A569" s="5">
        <f t="shared" si="71"/>
        <v>2004</v>
      </c>
      <c r="B569" s="5">
        <f t="shared" si="72"/>
        <v>45</v>
      </c>
      <c r="C569" s="2">
        <v>38296</v>
      </c>
      <c r="D569" s="1">
        <v>3327</v>
      </c>
    </row>
    <row r="570" spans="1:4" x14ac:dyDescent="0.25">
      <c r="A570" s="5">
        <f t="shared" si="71"/>
        <v>2004</v>
      </c>
      <c r="B570" s="5">
        <f t="shared" si="72"/>
        <v>46</v>
      </c>
      <c r="C570" s="2">
        <v>38303</v>
      </c>
      <c r="D570" s="1">
        <v>3321</v>
      </c>
    </row>
    <row r="571" spans="1:4" x14ac:dyDescent="0.25">
      <c r="A571" s="5">
        <f t="shared" si="71"/>
        <v>2004</v>
      </c>
      <c r="B571" s="5">
        <f t="shared" si="72"/>
        <v>47</v>
      </c>
      <c r="C571" s="2">
        <v>38310</v>
      </c>
      <c r="D571" s="1">
        <v>3304</v>
      </c>
    </row>
    <row r="572" spans="1:4" x14ac:dyDescent="0.25">
      <c r="A572" s="5">
        <f t="shared" si="71"/>
        <v>2004</v>
      </c>
      <c r="B572" s="5">
        <f t="shared" si="72"/>
        <v>48</v>
      </c>
      <c r="C572" s="2">
        <v>38317</v>
      </c>
      <c r="D572" s="1">
        <v>3299</v>
      </c>
    </row>
    <row r="573" spans="1:4" x14ac:dyDescent="0.25">
      <c r="A573" s="5">
        <f t="shared" si="71"/>
        <v>2004</v>
      </c>
      <c r="B573" s="5">
        <f t="shared" si="72"/>
        <v>49</v>
      </c>
      <c r="C573" s="2">
        <v>38324</v>
      </c>
      <c r="D573" s="1">
        <v>3211</v>
      </c>
    </row>
    <row r="574" spans="1:4" x14ac:dyDescent="0.25">
      <c r="A574" s="5">
        <f t="shared" si="71"/>
        <v>2004</v>
      </c>
      <c r="B574" s="5">
        <f t="shared" si="72"/>
        <v>50</v>
      </c>
      <c r="C574" s="2">
        <v>38331</v>
      </c>
      <c r="D574" s="1">
        <v>3150</v>
      </c>
    </row>
    <row r="575" spans="1:4" x14ac:dyDescent="0.25">
      <c r="A575" s="5">
        <f t="shared" si="71"/>
        <v>2004</v>
      </c>
      <c r="B575" s="5">
        <f t="shared" si="72"/>
        <v>51</v>
      </c>
      <c r="C575" s="2">
        <v>38338</v>
      </c>
      <c r="D575" s="1">
        <v>3027</v>
      </c>
    </row>
    <row r="576" spans="1:4" x14ac:dyDescent="0.25">
      <c r="A576" s="5">
        <f t="shared" si="71"/>
        <v>2004</v>
      </c>
      <c r="B576" s="5">
        <f t="shared" si="72"/>
        <v>52</v>
      </c>
      <c r="C576" s="2">
        <v>38345</v>
      </c>
      <c r="D576" s="1">
        <v>2849</v>
      </c>
    </row>
    <row r="577" spans="1:4" x14ac:dyDescent="0.25">
      <c r="A577" s="5">
        <f t="shared" si="71"/>
        <v>2004</v>
      </c>
      <c r="B577" s="5">
        <f t="shared" si="72"/>
        <v>53</v>
      </c>
      <c r="C577" s="2">
        <v>38352</v>
      </c>
      <c r="D577" s="1">
        <v>2698</v>
      </c>
    </row>
    <row r="578" spans="1:4" x14ac:dyDescent="0.25">
      <c r="A578" s="5">
        <f t="shared" si="71"/>
        <v>2005</v>
      </c>
      <c r="B578" s="5">
        <f t="shared" si="72"/>
        <v>2</v>
      </c>
      <c r="C578" s="2">
        <v>38359</v>
      </c>
      <c r="D578" s="1">
        <v>2610</v>
      </c>
    </row>
    <row r="579" spans="1:4" x14ac:dyDescent="0.25">
      <c r="A579" s="5">
        <f t="shared" ref="A579:A642" si="73">YEAR(C579)</f>
        <v>2005</v>
      </c>
      <c r="B579" s="5">
        <f t="shared" ref="B579:B642" si="74">WEEKNUM(C579)</f>
        <v>3</v>
      </c>
      <c r="C579" s="2">
        <v>38366</v>
      </c>
      <c r="D579" s="1">
        <v>2500</v>
      </c>
    </row>
    <row r="580" spans="1:4" x14ac:dyDescent="0.25">
      <c r="A580" s="5">
        <f t="shared" si="73"/>
        <v>2005</v>
      </c>
      <c r="B580" s="5">
        <f t="shared" si="74"/>
        <v>4</v>
      </c>
      <c r="C580" s="2">
        <v>38373</v>
      </c>
      <c r="D580" s="1">
        <v>2270</v>
      </c>
    </row>
    <row r="581" spans="1:4" x14ac:dyDescent="0.25">
      <c r="A581" s="5">
        <f t="shared" si="73"/>
        <v>2005</v>
      </c>
      <c r="B581" s="5">
        <f t="shared" si="74"/>
        <v>5</v>
      </c>
      <c r="C581" s="2">
        <v>38380</v>
      </c>
      <c r="D581" s="1">
        <v>2083</v>
      </c>
    </row>
    <row r="582" spans="1:4" x14ac:dyDescent="0.25">
      <c r="A582" s="5">
        <f t="shared" si="73"/>
        <v>2005</v>
      </c>
      <c r="B582" s="5">
        <f t="shared" si="74"/>
        <v>6</v>
      </c>
      <c r="C582" s="2">
        <v>38387</v>
      </c>
      <c r="D582" s="1">
        <v>1906</v>
      </c>
    </row>
    <row r="583" spans="1:4" x14ac:dyDescent="0.25">
      <c r="A583" s="5">
        <f t="shared" si="73"/>
        <v>2005</v>
      </c>
      <c r="B583" s="5">
        <f t="shared" si="74"/>
        <v>7</v>
      </c>
      <c r="C583" s="2">
        <v>38394</v>
      </c>
      <c r="D583" s="1">
        <v>1808</v>
      </c>
    </row>
    <row r="584" spans="1:4" x14ac:dyDescent="0.25">
      <c r="A584" s="5">
        <f t="shared" si="73"/>
        <v>2005</v>
      </c>
      <c r="B584" s="5">
        <f t="shared" si="74"/>
        <v>8</v>
      </c>
      <c r="C584" s="2">
        <v>38401</v>
      </c>
      <c r="D584" s="1">
        <v>1720</v>
      </c>
    </row>
    <row r="585" spans="1:4" x14ac:dyDescent="0.25">
      <c r="A585" s="5">
        <f t="shared" si="73"/>
        <v>2005</v>
      </c>
      <c r="B585" s="5">
        <f t="shared" si="74"/>
        <v>9</v>
      </c>
      <c r="C585" s="2">
        <v>38408</v>
      </c>
      <c r="D585" s="1">
        <v>1613</v>
      </c>
    </row>
    <row r="586" spans="1:4" x14ac:dyDescent="0.25">
      <c r="A586" s="5">
        <f t="shared" si="73"/>
        <v>2005</v>
      </c>
      <c r="B586" s="5">
        <f t="shared" si="74"/>
        <v>10</v>
      </c>
      <c r="C586" s="2">
        <v>38415</v>
      </c>
      <c r="D586" s="1">
        <v>1474</v>
      </c>
    </row>
    <row r="587" spans="1:4" x14ac:dyDescent="0.25">
      <c r="A587" s="5">
        <f t="shared" si="73"/>
        <v>2005</v>
      </c>
      <c r="B587" s="5">
        <f t="shared" si="74"/>
        <v>11</v>
      </c>
      <c r="C587" s="2">
        <v>38422</v>
      </c>
      <c r="D587" s="1">
        <v>1379</v>
      </c>
    </row>
    <row r="588" spans="1:4" x14ac:dyDescent="0.25">
      <c r="A588" s="5">
        <f t="shared" si="73"/>
        <v>2005</v>
      </c>
      <c r="B588" s="5">
        <f t="shared" si="74"/>
        <v>12</v>
      </c>
      <c r="C588" s="2">
        <v>38429</v>
      </c>
      <c r="D588" s="1">
        <v>1290</v>
      </c>
    </row>
    <row r="589" spans="1:4" x14ac:dyDescent="0.25">
      <c r="A589" s="5">
        <f t="shared" si="73"/>
        <v>2005</v>
      </c>
      <c r="B589" s="5">
        <f t="shared" si="74"/>
        <v>13</v>
      </c>
      <c r="C589" s="2">
        <v>38436</v>
      </c>
      <c r="D589" s="1">
        <v>1239</v>
      </c>
    </row>
    <row r="590" spans="1:4" x14ac:dyDescent="0.25">
      <c r="A590" s="5">
        <f t="shared" si="73"/>
        <v>2005</v>
      </c>
      <c r="B590" s="5">
        <f t="shared" si="74"/>
        <v>14</v>
      </c>
      <c r="C590" s="2">
        <v>38443</v>
      </c>
      <c r="D590" s="1">
        <v>1249</v>
      </c>
    </row>
    <row r="591" spans="1:4" x14ac:dyDescent="0.25">
      <c r="A591" s="5">
        <f t="shared" si="73"/>
        <v>2005</v>
      </c>
      <c r="B591" s="5">
        <f t="shared" si="74"/>
        <v>15</v>
      </c>
      <c r="C591" s="2">
        <v>38450</v>
      </c>
      <c r="D591" s="1">
        <v>1293</v>
      </c>
    </row>
    <row r="592" spans="1:4" x14ac:dyDescent="0.25">
      <c r="A592" s="5">
        <f t="shared" si="73"/>
        <v>2005</v>
      </c>
      <c r="B592" s="5">
        <f t="shared" si="74"/>
        <v>16</v>
      </c>
      <c r="C592" s="2">
        <v>38457</v>
      </c>
      <c r="D592" s="1">
        <v>1343</v>
      </c>
    </row>
    <row r="593" spans="1:4" x14ac:dyDescent="0.25">
      <c r="A593" s="5">
        <f t="shared" si="73"/>
        <v>2005</v>
      </c>
      <c r="B593" s="5">
        <f t="shared" si="74"/>
        <v>17</v>
      </c>
      <c r="C593" s="2">
        <v>38464</v>
      </c>
      <c r="D593" s="1">
        <v>1416</v>
      </c>
    </row>
    <row r="594" spans="1:4" x14ac:dyDescent="0.25">
      <c r="A594" s="5">
        <f t="shared" si="73"/>
        <v>2005</v>
      </c>
      <c r="B594" s="5">
        <f t="shared" si="74"/>
        <v>18</v>
      </c>
      <c r="C594" s="2">
        <v>38471</v>
      </c>
      <c r="D594" s="1">
        <v>1455</v>
      </c>
    </row>
    <row r="595" spans="1:4" x14ac:dyDescent="0.25">
      <c r="A595" s="5">
        <f t="shared" si="73"/>
        <v>2005</v>
      </c>
      <c r="B595" s="5">
        <f t="shared" si="74"/>
        <v>19</v>
      </c>
      <c r="C595" s="2">
        <v>38478</v>
      </c>
      <c r="D595" s="1">
        <v>1509</v>
      </c>
    </row>
    <row r="596" spans="1:4" x14ac:dyDescent="0.25">
      <c r="A596" s="5">
        <f t="shared" si="73"/>
        <v>2005</v>
      </c>
      <c r="B596" s="5">
        <f t="shared" si="74"/>
        <v>20</v>
      </c>
      <c r="C596" s="2">
        <v>38485</v>
      </c>
      <c r="D596" s="1">
        <v>1599</v>
      </c>
    </row>
    <row r="597" spans="1:4" x14ac:dyDescent="0.25">
      <c r="A597" s="5">
        <f t="shared" si="73"/>
        <v>2005</v>
      </c>
      <c r="B597" s="5">
        <f t="shared" si="74"/>
        <v>21</v>
      </c>
      <c r="C597" s="2">
        <v>38492</v>
      </c>
      <c r="D597" s="1">
        <v>1692</v>
      </c>
    </row>
    <row r="598" spans="1:4" x14ac:dyDescent="0.25">
      <c r="A598" s="5">
        <f t="shared" si="73"/>
        <v>2005</v>
      </c>
      <c r="B598" s="5">
        <f t="shared" si="74"/>
        <v>22</v>
      </c>
      <c r="C598" s="2">
        <v>38499</v>
      </c>
      <c r="D598" s="1">
        <v>1778</v>
      </c>
    </row>
    <row r="599" spans="1:4" x14ac:dyDescent="0.25">
      <c r="A599" s="5">
        <f t="shared" si="73"/>
        <v>2005</v>
      </c>
      <c r="B599" s="5">
        <f t="shared" si="74"/>
        <v>23</v>
      </c>
      <c r="C599" s="2">
        <v>38506</v>
      </c>
      <c r="D599" s="1">
        <v>1883</v>
      </c>
    </row>
    <row r="600" spans="1:4" x14ac:dyDescent="0.25">
      <c r="A600" s="5">
        <f t="shared" si="73"/>
        <v>2005</v>
      </c>
      <c r="B600" s="5">
        <f t="shared" si="74"/>
        <v>24</v>
      </c>
      <c r="C600" s="2">
        <v>38513</v>
      </c>
      <c r="D600" s="1">
        <v>1956</v>
      </c>
    </row>
    <row r="601" spans="1:4" x14ac:dyDescent="0.25">
      <c r="A601" s="5">
        <f t="shared" si="73"/>
        <v>2005</v>
      </c>
      <c r="B601" s="5">
        <f t="shared" si="74"/>
        <v>25</v>
      </c>
      <c r="C601" s="2">
        <v>38520</v>
      </c>
      <c r="D601" s="1">
        <v>2036</v>
      </c>
    </row>
    <row r="602" spans="1:4" x14ac:dyDescent="0.25">
      <c r="A602" s="5">
        <f t="shared" si="73"/>
        <v>2005</v>
      </c>
      <c r="B602" s="5">
        <f t="shared" si="74"/>
        <v>26</v>
      </c>
      <c r="C602" s="2">
        <v>38527</v>
      </c>
      <c r="D602" s="1">
        <v>2133</v>
      </c>
    </row>
    <row r="603" spans="1:4" x14ac:dyDescent="0.25">
      <c r="A603" s="5">
        <f t="shared" si="73"/>
        <v>2005</v>
      </c>
      <c r="B603" s="5">
        <f t="shared" si="74"/>
        <v>27</v>
      </c>
      <c r="C603" s="2">
        <v>38534</v>
      </c>
      <c r="D603" s="1">
        <v>2199</v>
      </c>
    </row>
    <row r="604" spans="1:4" x14ac:dyDescent="0.25">
      <c r="A604" s="5">
        <f t="shared" si="73"/>
        <v>2005</v>
      </c>
      <c r="B604" s="5">
        <f t="shared" si="74"/>
        <v>28</v>
      </c>
      <c r="C604" s="2">
        <v>38541</v>
      </c>
      <c r="D604" s="1">
        <v>2291</v>
      </c>
    </row>
    <row r="605" spans="1:4" x14ac:dyDescent="0.25">
      <c r="A605" s="5">
        <f t="shared" si="73"/>
        <v>2005</v>
      </c>
      <c r="B605" s="5">
        <f t="shared" si="74"/>
        <v>29</v>
      </c>
      <c r="C605" s="2">
        <v>38548</v>
      </c>
      <c r="D605" s="1">
        <v>2344</v>
      </c>
    </row>
    <row r="606" spans="1:4" x14ac:dyDescent="0.25">
      <c r="A606" s="5">
        <f t="shared" si="73"/>
        <v>2005</v>
      </c>
      <c r="B606" s="5">
        <f t="shared" si="74"/>
        <v>30</v>
      </c>
      <c r="C606" s="2">
        <v>38555</v>
      </c>
      <c r="D606" s="1">
        <v>2383</v>
      </c>
    </row>
    <row r="607" spans="1:4" x14ac:dyDescent="0.25">
      <c r="A607" s="5">
        <f t="shared" si="73"/>
        <v>2005</v>
      </c>
      <c r="B607" s="5">
        <f t="shared" si="74"/>
        <v>31</v>
      </c>
      <c r="C607" s="2">
        <v>38562</v>
      </c>
      <c r="D607" s="1">
        <v>2420</v>
      </c>
    </row>
    <row r="608" spans="1:4" x14ac:dyDescent="0.25">
      <c r="A608" s="5">
        <f t="shared" si="73"/>
        <v>2005</v>
      </c>
      <c r="B608" s="5">
        <f t="shared" si="74"/>
        <v>32</v>
      </c>
      <c r="C608" s="2">
        <v>38569</v>
      </c>
      <c r="D608" s="1">
        <v>2463</v>
      </c>
    </row>
    <row r="609" spans="1:4" x14ac:dyDescent="0.25">
      <c r="A609" s="5">
        <f t="shared" si="73"/>
        <v>2005</v>
      </c>
      <c r="B609" s="5">
        <f t="shared" si="74"/>
        <v>33</v>
      </c>
      <c r="C609" s="2">
        <v>38576</v>
      </c>
      <c r="D609" s="1">
        <v>2515</v>
      </c>
    </row>
    <row r="610" spans="1:4" x14ac:dyDescent="0.25">
      <c r="A610" s="5">
        <f t="shared" si="73"/>
        <v>2005</v>
      </c>
      <c r="B610" s="5">
        <f t="shared" si="74"/>
        <v>34</v>
      </c>
      <c r="C610" s="2">
        <v>38583</v>
      </c>
      <c r="D610" s="1">
        <v>2575</v>
      </c>
    </row>
    <row r="611" spans="1:4" x14ac:dyDescent="0.25">
      <c r="A611" s="5">
        <f t="shared" si="73"/>
        <v>2005</v>
      </c>
      <c r="B611" s="5">
        <f t="shared" si="74"/>
        <v>35</v>
      </c>
      <c r="C611" s="2">
        <v>38590</v>
      </c>
      <c r="D611" s="1">
        <v>2633</v>
      </c>
    </row>
    <row r="612" spans="1:4" x14ac:dyDescent="0.25">
      <c r="A612" s="5">
        <f t="shared" si="73"/>
        <v>2005</v>
      </c>
      <c r="B612" s="5">
        <f t="shared" si="74"/>
        <v>36</v>
      </c>
      <c r="C612" s="2">
        <v>38597</v>
      </c>
      <c r="D612" s="1">
        <v>2669</v>
      </c>
    </row>
    <row r="613" spans="1:4" x14ac:dyDescent="0.25">
      <c r="A613" s="5">
        <f t="shared" si="73"/>
        <v>2005</v>
      </c>
      <c r="B613" s="5">
        <f t="shared" si="74"/>
        <v>37</v>
      </c>
      <c r="C613" s="2">
        <v>38604</v>
      </c>
      <c r="D613" s="1">
        <v>2758</v>
      </c>
    </row>
    <row r="614" spans="1:4" x14ac:dyDescent="0.25">
      <c r="A614" s="5">
        <f t="shared" si="73"/>
        <v>2005</v>
      </c>
      <c r="B614" s="5">
        <f t="shared" si="74"/>
        <v>38</v>
      </c>
      <c r="C614" s="2">
        <v>38611</v>
      </c>
      <c r="D614" s="1">
        <v>2832</v>
      </c>
    </row>
    <row r="615" spans="1:4" x14ac:dyDescent="0.25">
      <c r="A615" s="5">
        <f t="shared" si="73"/>
        <v>2005</v>
      </c>
      <c r="B615" s="5">
        <f t="shared" si="74"/>
        <v>39</v>
      </c>
      <c r="C615" s="2">
        <v>38618</v>
      </c>
      <c r="D615" s="1">
        <v>2885</v>
      </c>
    </row>
    <row r="616" spans="1:4" x14ac:dyDescent="0.25">
      <c r="A616" s="5">
        <f t="shared" si="73"/>
        <v>2005</v>
      </c>
      <c r="B616" s="5">
        <f t="shared" si="74"/>
        <v>40</v>
      </c>
      <c r="C616" s="2">
        <v>38625</v>
      </c>
      <c r="D616" s="1">
        <v>2929</v>
      </c>
    </row>
    <row r="617" spans="1:4" x14ac:dyDescent="0.25">
      <c r="A617" s="5">
        <f t="shared" si="73"/>
        <v>2005</v>
      </c>
      <c r="B617" s="5">
        <f t="shared" si="74"/>
        <v>41</v>
      </c>
      <c r="C617" s="2">
        <v>38632</v>
      </c>
      <c r="D617" s="1">
        <v>2987</v>
      </c>
    </row>
    <row r="618" spans="1:4" x14ac:dyDescent="0.25">
      <c r="A618" s="5">
        <f t="shared" si="73"/>
        <v>2005</v>
      </c>
      <c r="B618" s="5">
        <f t="shared" si="74"/>
        <v>42</v>
      </c>
      <c r="C618" s="2">
        <v>38639</v>
      </c>
      <c r="D618" s="1">
        <v>3062</v>
      </c>
    </row>
    <row r="619" spans="1:4" x14ac:dyDescent="0.25">
      <c r="A619" s="5">
        <f t="shared" si="73"/>
        <v>2005</v>
      </c>
      <c r="B619" s="5">
        <f t="shared" si="74"/>
        <v>43</v>
      </c>
      <c r="C619" s="2">
        <v>38646</v>
      </c>
      <c r="D619" s="1">
        <v>3139</v>
      </c>
    </row>
    <row r="620" spans="1:4" x14ac:dyDescent="0.25">
      <c r="A620" s="5">
        <f t="shared" si="73"/>
        <v>2005</v>
      </c>
      <c r="B620" s="5">
        <f t="shared" si="74"/>
        <v>44</v>
      </c>
      <c r="C620" s="2">
        <v>38653</v>
      </c>
      <c r="D620" s="1">
        <v>3168</v>
      </c>
    </row>
    <row r="621" spans="1:4" x14ac:dyDescent="0.25">
      <c r="A621" s="5">
        <f t="shared" si="73"/>
        <v>2005</v>
      </c>
      <c r="B621" s="5">
        <f t="shared" si="74"/>
        <v>45</v>
      </c>
      <c r="C621" s="2">
        <v>38660</v>
      </c>
      <c r="D621" s="1">
        <v>3229</v>
      </c>
    </row>
    <row r="622" spans="1:4" x14ac:dyDescent="0.25">
      <c r="A622" s="5">
        <f t="shared" si="73"/>
        <v>2005</v>
      </c>
      <c r="B622" s="5">
        <f t="shared" si="74"/>
        <v>46</v>
      </c>
      <c r="C622" s="2">
        <v>38667</v>
      </c>
      <c r="D622" s="1">
        <v>3282</v>
      </c>
    </row>
    <row r="623" spans="1:4" x14ac:dyDescent="0.25">
      <c r="A623" s="5">
        <f t="shared" si="73"/>
        <v>2005</v>
      </c>
      <c r="B623" s="5">
        <f t="shared" si="74"/>
        <v>47</v>
      </c>
      <c r="C623" s="2">
        <v>38674</v>
      </c>
      <c r="D623" s="1">
        <v>3274</v>
      </c>
    </row>
    <row r="624" spans="1:4" x14ac:dyDescent="0.25">
      <c r="A624" s="5">
        <f t="shared" si="73"/>
        <v>2005</v>
      </c>
      <c r="B624" s="5">
        <f t="shared" si="74"/>
        <v>48</v>
      </c>
      <c r="C624" s="2">
        <v>38681</v>
      </c>
      <c r="D624" s="1">
        <v>3225</v>
      </c>
    </row>
    <row r="625" spans="1:4" x14ac:dyDescent="0.25">
      <c r="A625" s="5">
        <f t="shared" si="73"/>
        <v>2005</v>
      </c>
      <c r="B625" s="5">
        <f t="shared" si="74"/>
        <v>49</v>
      </c>
      <c r="C625" s="2">
        <v>38688</v>
      </c>
      <c r="D625" s="1">
        <v>3166</v>
      </c>
    </row>
    <row r="626" spans="1:4" x14ac:dyDescent="0.25">
      <c r="A626" s="5">
        <f t="shared" si="73"/>
        <v>2005</v>
      </c>
      <c r="B626" s="5">
        <f t="shared" si="74"/>
        <v>50</v>
      </c>
      <c r="C626" s="2">
        <v>38695</v>
      </c>
      <c r="D626" s="1">
        <v>2964</v>
      </c>
    </row>
    <row r="627" spans="1:4" x14ac:dyDescent="0.25">
      <c r="A627" s="5">
        <f t="shared" si="73"/>
        <v>2005</v>
      </c>
      <c r="B627" s="5">
        <f t="shared" si="74"/>
        <v>51</v>
      </c>
      <c r="C627" s="2">
        <v>38702</v>
      </c>
      <c r="D627" s="1">
        <v>2802</v>
      </c>
    </row>
    <row r="628" spans="1:4" x14ac:dyDescent="0.25">
      <c r="A628" s="5">
        <f t="shared" si="73"/>
        <v>2005</v>
      </c>
      <c r="B628" s="5">
        <f t="shared" si="74"/>
        <v>52</v>
      </c>
      <c r="C628" s="2">
        <v>38709</v>
      </c>
      <c r="D628" s="1">
        <v>2640</v>
      </c>
    </row>
    <row r="629" spans="1:4" x14ac:dyDescent="0.25">
      <c r="A629" s="5">
        <f t="shared" si="73"/>
        <v>2005</v>
      </c>
      <c r="B629" s="5">
        <f t="shared" si="74"/>
        <v>53</v>
      </c>
      <c r="C629" s="2">
        <v>38716</v>
      </c>
      <c r="D629" s="1">
        <v>2641</v>
      </c>
    </row>
    <row r="630" spans="1:4" x14ac:dyDescent="0.25">
      <c r="A630" s="5">
        <f t="shared" si="73"/>
        <v>2006</v>
      </c>
      <c r="B630" s="5">
        <f t="shared" si="74"/>
        <v>1</v>
      </c>
      <c r="C630" s="2">
        <v>38723</v>
      </c>
      <c r="D630" s="1">
        <v>2621</v>
      </c>
    </row>
    <row r="631" spans="1:4" x14ac:dyDescent="0.25">
      <c r="A631" s="5">
        <f t="shared" si="73"/>
        <v>2006</v>
      </c>
      <c r="B631" s="5">
        <f t="shared" si="74"/>
        <v>2</v>
      </c>
      <c r="C631" s="2">
        <v>38730</v>
      </c>
      <c r="D631" s="1">
        <v>2575</v>
      </c>
    </row>
    <row r="632" spans="1:4" x14ac:dyDescent="0.25">
      <c r="A632" s="5">
        <f t="shared" si="73"/>
        <v>2006</v>
      </c>
      <c r="B632" s="5">
        <f t="shared" si="74"/>
        <v>3</v>
      </c>
      <c r="C632" s="2">
        <v>38737</v>
      </c>
      <c r="D632" s="1">
        <v>2494</v>
      </c>
    </row>
    <row r="633" spans="1:4" x14ac:dyDescent="0.25">
      <c r="A633" s="5">
        <f t="shared" si="73"/>
        <v>2006</v>
      </c>
      <c r="B633" s="5">
        <f t="shared" si="74"/>
        <v>4</v>
      </c>
      <c r="C633" s="2">
        <v>38744</v>
      </c>
      <c r="D633" s="1">
        <v>2406</v>
      </c>
    </row>
    <row r="634" spans="1:4" x14ac:dyDescent="0.25">
      <c r="A634" s="5">
        <f t="shared" si="73"/>
        <v>2006</v>
      </c>
      <c r="B634" s="5">
        <f t="shared" si="74"/>
        <v>5</v>
      </c>
      <c r="C634" s="2">
        <v>38751</v>
      </c>
      <c r="D634" s="1">
        <v>2368</v>
      </c>
    </row>
    <row r="635" spans="1:4" x14ac:dyDescent="0.25">
      <c r="A635" s="5">
        <f t="shared" si="73"/>
        <v>2006</v>
      </c>
      <c r="B635" s="5">
        <f t="shared" si="74"/>
        <v>6</v>
      </c>
      <c r="C635" s="2">
        <v>38758</v>
      </c>
      <c r="D635" s="1">
        <v>2266</v>
      </c>
    </row>
    <row r="636" spans="1:4" x14ac:dyDescent="0.25">
      <c r="A636" s="5">
        <f t="shared" si="73"/>
        <v>2006</v>
      </c>
      <c r="B636" s="5">
        <f t="shared" si="74"/>
        <v>7</v>
      </c>
      <c r="C636" s="2">
        <v>38765</v>
      </c>
      <c r="D636" s="1">
        <v>2143</v>
      </c>
    </row>
    <row r="637" spans="1:4" x14ac:dyDescent="0.25">
      <c r="A637" s="5">
        <f t="shared" si="73"/>
        <v>2006</v>
      </c>
      <c r="B637" s="5">
        <f t="shared" si="74"/>
        <v>8</v>
      </c>
      <c r="C637" s="2">
        <v>38772</v>
      </c>
      <c r="D637" s="1">
        <v>1972</v>
      </c>
    </row>
    <row r="638" spans="1:4" x14ac:dyDescent="0.25">
      <c r="A638" s="5">
        <f t="shared" si="73"/>
        <v>2006</v>
      </c>
      <c r="B638" s="5">
        <f t="shared" si="74"/>
        <v>9</v>
      </c>
      <c r="C638" s="2">
        <v>38779</v>
      </c>
      <c r="D638" s="1">
        <v>1887</v>
      </c>
    </row>
    <row r="639" spans="1:4" x14ac:dyDescent="0.25">
      <c r="A639" s="5">
        <f t="shared" si="73"/>
        <v>2006</v>
      </c>
      <c r="B639" s="5">
        <f t="shared" si="74"/>
        <v>10</v>
      </c>
      <c r="C639" s="2">
        <v>38786</v>
      </c>
      <c r="D639" s="1">
        <v>1832</v>
      </c>
    </row>
    <row r="640" spans="1:4" x14ac:dyDescent="0.25">
      <c r="A640" s="5">
        <f t="shared" si="73"/>
        <v>2006</v>
      </c>
      <c r="B640" s="5">
        <f t="shared" si="74"/>
        <v>11</v>
      </c>
      <c r="C640" s="2">
        <v>38793</v>
      </c>
      <c r="D640" s="1">
        <v>1809</v>
      </c>
    </row>
    <row r="641" spans="1:4" x14ac:dyDescent="0.25">
      <c r="A641" s="5">
        <f t="shared" si="73"/>
        <v>2006</v>
      </c>
      <c r="B641" s="5">
        <f t="shared" si="74"/>
        <v>12</v>
      </c>
      <c r="C641" s="2">
        <v>38800</v>
      </c>
      <c r="D641" s="1">
        <v>1705</v>
      </c>
    </row>
    <row r="642" spans="1:4" x14ac:dyDescent="0.25">
      <c r="A642" s="5">
        <f t="shared" si="73"/>
        <v>2006</v>
      </c>
      <c r="B642" s="5">
        <f t="shared" si="74"/>
        <v>13</v>
      </c>
      <c r="C642" s="2">
        <v>38807</v>
      </c>
      <c r="D642" s="1">
        <v>1695</v>
      </c>
    </row>
    <row r="643" spans="1:4" x14ac:dyDescent="0.25">
      <c r="A643" s="5">
        <f t="shared" ref="A643:A706" si="75">YEAR(C643)</f>
        <v>2006</v>
      </c>
      <c r="B643" s="5">
        <f t="shared" ref="B643:B706" si="76">WEEKNUM(C643)</f>
        <v>14</v>
      </c>
      <c r="C643" s="2">
        <v>38814</v>
      </c>
      <c r="D643" s="1">
        <v>1714</v>
      </c>
    </row>
    <row r="644" spans="1:4" x14ac:dyDescent="0.25">
      <c r="A644" s="5">
        <f t="shared" si="75"/>
        <v>2006</v>
      </c>
      <c r="B644" s="5">
        <f t="shared" si="76"/>
        <v>15</v>
      </c>
      <c r="C644" s="2">
        <v>38821</v>
      </c>
      <c r="D644" s="1">
        <v>1771</v>
      </c>
    </row>
    <row r="645" spans="1:4" x14ac:dyDescent="0.25">
      <c r="A645" s="5">
        <f t="shared" si="75"/>
        <v>2006</v>
      </c>
      <c r="B645" s="5">
        <f t="shared" si="76"/>
        <v>16</v>
      </c>
      <c r="C645" s="2">
        <v>38828</v>
      </c>
      <c r="D645" s="1">
        <v>1851</v>
      </c>
    </row>
    <row r="646" spans="1:4" x14ac:dyDescent="0.25">
      <c r="A646" s="5">
        <f t="shared" si="75"/>
        <v>2006</v>
      </c>
      <c r="B646" s="5">
        <f t="shared" si="76"/>
        <v>17</v>
      </c>
      <c r="C646" s="2">
        <v>38835</v>
      </c>
      <c r="D646" s="1">
        <v>1904</v>
      </c>
    </row>
    <row r="647" spans="1:4" x14ac:dyDescent="0.25">
      <c r="A647" s="5">
        <f t="shared" si="75"/>
        <v>2006</v>
      </c>
      <c r="B647" s="5">
        <f t="shared" si="76"/>
        <v>18</v>
      </c>
      <c r="C647" s="2">
        <v>38842</v>
      </c>
      <c r="D647" s="1">
        <v>1989</v>
      </c>
    </row>
    <row r="648" spans="1:4" x14ac:dyDescent="0.25">
      <c r="A648" s="5">
        <f t="shared" si="75"/>
        <v>2006</v>
      </c>
      <c r="B648" s="5">
        <f t="shared" si="76"/>
        <v>19</v>
      </c>
      <c r="C648" s="2">
        <v>38849</v>
      </c>
      <c r="D648" s="1">
        <v>2080</v>
      </c>
    </row>
    <row r="649" spans="1:4" x14ac:dyDescent="0.25">
      <c r="A649" s="5">
        <f t="shared" si="75"/>
        <v>2006</v>
      </c>
      <c r="B649" s="5">
        <f t="shared" si="76"/>
        <v>20</v>
      </c>
      <c r="C649" s="2">
        <v>38856</v>
      </c>
      <c r="D649" s="1">
        <v>2163</v>
      </c>
    </row>
    <row r="650" spans="1:4" x14ac:dyDescent="0.25">
      <c r="A650" s="5">
        <f t="shared" si="75"/>
        <v>2006</v>
      </c>
      <c r="B650" s="5">
        <f t="shared" si="76"/>
        <v>21</v>
      </c>
      <c r="C650" s="2">
        <v>38863</v>
      </c>
      <c r="D650" s="1">
        <v>2243</v>
      </c>
    </row>
    <row r="651" spans="1:4" x14ac:dyDescent="0.25">
      <c r="A651" s="5">
        <f t="shared" si="75"/>
        <v>2006</v>
      </c>
      <c r="B651" s="5">
        <f t="shared" si="76"/>
        <v>22</v>
      </c>
      <c r="C651" s="2">
        <v>38870</v>
      </c>
      <c r="D651" s="1">
        <v>2320</v>
      </c>
    </row>
    <row r="652" spans="1:4" x14ac:dyDescent="0.25">
      <c r="A652" s="5">
        <f t="shared" si="75"/>
        <v>2006</v>
      </c>
      <c r="B652" s="5">
        <f t="shared" si="76"/>
        <v>23</v>
      </c>
      <c r="C652" s="2">
        <v>38877</v>
      </c>
      <c r="D652" s="1">
        <v>2397</v>
      </c>
    </row>
    <row r="653" spans="1:4" x14ac:dyDescent="0.25">
      <c r="A653" s="5">
        <f t="shared" si="75"/>
        <v>2006</v>
      </c>
      <c r="B653" s="5">
        <f t="shared" si="76"/>
        <v>24</v>
      </c>
      <c r="C653" s="2">
        <v>38884</v>
      </c>
      <c r="D653" s="1">
        <v>2476</v>
      </c>
    </row>
    <row r="654" spans="1:4" x14ac:dyDescent="0.25">
      <c r="A654" s="5">
        <f t="shared" si="75"/>
        <v>2006</v>
      </c>
      <c r="B654" s="5">
        <f t="shared" si="76"/>
        <v>25</v>
      </c>
      <c r="C654" s="2">
        <v>38891</v>
      </c>
      <c r="D654" s="1">
        <v>2542</v>
      </c>
    </row>
    <row r="655" spans="1:4" x14ac:dyDescent="0.25">
      <c r="A655" s="5">
        <f t="shared" si="75"/>
        <v>2006</v>
      </c>
      <c r="B655" s="5">
        <f t="shared" si="76"/>
        <v>26</v>
      </c>
      <c r="C655" s="2">
        <v>38898</v>
      </c>
      <c r="D655" s="1">
        <v>2615</v>
      </c>
    </row>
    <row r="656" spans="1:4" x14ac:dyDescent="0.25">
      <c r="A656" s="5">
        <f t="shared" si="75"/>
        <v>2006</v>
      </c>
      <c r="B656" s="5">
        <f t="shared" si="76"/>
        <v>27</v>
      </c>
      <c r="C656" s="2">
        <v>38905</v>
      </c>
      <c r="D656" s="1">
        <v>2704</v>
      </c>
    </row>
    <row r="657" spans="1:4" x14ac:dyDescent="0.25">
      <c r="A657" s="5">
        <f t="shared" si="75"/>
        <v>2006</v>
      </c>
      <c r="B657" s="5">
        <f t="shared" si="76"/>
        <v>28</v>
      </c>
      <c r="C657" s="2">
        <v>38912</v>
      </c>
      <c r="D657" s="1">
        <v>2763</v>
      </c>
    </row>
    <row r="658" spans="1:4" x14ac:dyDescent="0.25">
      <c r="A658" s="5">
        <f t="shared" si="75"/>
        <v>2006</v>
      </c>
      <c r="B658" s="5">
        <f t="shared" si="76"/>
        <v>29</v>
      </c>
      <c r="C658" s="2">
        <v>38919</v>
      </c>
      <c r="D658" s="1">
        <v>2756</v>
      </c>
    </row>
    <row r="659" spans="1:4" x14ac:dyDescent="0.25">
      <c r="A659" s="5">
        <f t="shared" si="75"/>
        <v>2006</v>
      </c>
      <c r="B659" s="5">
        <f t="shared" si="76"/>
        <v>30</v>
      </c>
      <c r="C659" s="2">
        <v>38926</v>
      </c>
      <c r="D659" s="1">
        <v>2775</v>
      </c>
    </row>
    <row r="660" spans="1:4" x14ac:dyDescent="0.25">
      <c r="A660" s="5">
        <f t="shared" si="75"/>
        <v>2006</v>
      </c>
      <c r="B660" s="5">
        <f t="shared" si="76"/>
        <v>31</v>
      </c>
      <c r="C660" s="2">
        <v>38933</v>
      </c>
      <c r="D660" s="1">
        <v>2763</v>
      </c>
    </row>
    <row r="661" spans="1:4" x14ac:dyDescent="0.25">
      <c r="A661" s="5">
        <f t="shared" si="75"/>
        <v>2006</v>
      </c>
      <c r="B661" s="5">
        <f t="shared" si="76"/>
        <v>32</v>
      </c>
      <c r="C661" s="2">
        <v>38940</v>
      </c>
      <c r="D661" s="1">
        <v>2800</v>
      </c>
    </row>
    <row r="662" spans="1:4" x14ac:dyDescent="0.25">
      <c r="A662" s="5">
        <f t="shared" si="75"/>
        <v>2006</v>
      </c>
      <c r="B662" s="5">
        <f t="shared" si="76"/>
        <v>33</v>
      </c>
      <c r="C662" s="2">
        <v>38947</v>
      </c>
      <c r="D662" s="1">
        <v>2857</v>
      </c>
    </row>
    <row r="663" spans="1:4" x14ac:dyDescent="0.25">
      <c r="A663" s="5">
        <f t="shared" si="75"/>
        <v>2006</v>
      </c>
      <c r="B663" s="5">
        <f t="shared" si="76"/>
        <v>34</v>
      </c>
      <c r="C663" s="2">
        <v>38954</v>
      </c>
      <c r="D663" s="1">
        <v>2905</v>
      </c>
    </row>
    <row r="664" spans="1:4" x14ac:dyDescent="0.25">
      <c r="A664" s="5">
        <f t="shared" si="75"/>
        <v>2006</v>
      </c>
      <c r="B664" s="5">
        <f t="shared" si="76"/>
        <v>35</v>
      </c>
      <c r="C664" s="2">
        <v>38961</v>
      </c>
      <c r="D664" s="1">
        <v>2976</v>
      </c>
    </row>
    <row r="665" spans="1:4" x14ac:dyDescent="0.25">
      <c r="A665" s="5">
        <f t="shared" si="75"/>
        <v>2006</v>
      </c>
      <c r="B665" s="5">
        <f t="shared" si="76"/>
        <v>36</v>
      </c>
      <c r="C665" s="2">
        <v>38968</v>
      </c>
      <c r="D665" s="1">
        <v>3084</v>
      </c>
    </row>
    <row r="666" spans="1:4" x14ac:dyDescent="0.25">
      <c r="A666" s="5">
        <f t="shared" si="75"/>
        <v>2006</v>
      </c>
      <c r="B666" s="5">
        <f t="shared" si="76"/>
        <v>37</v>
      </c>
      <c r="C666" s="2">
        <v>38975</v>
      </c>
      <c r="D666" s="1">
        <v>3177</v>
      </c>
    </row>
    <row r="667" spans="1:4" x14ac:dyDescent="0.25">
      <c r="A667" s="5">
        <f t="shared" si="75"/>
        <v>2006</v>
      </c>
      <c r="B667" s="5">
        <f t="shared" si="76"/>
        <v>38</v>
      </c>
      <c r="C667" s="2">
        <v>38982</v>
      </c>
      <c r="D667" s="1">
        <v>3254</v>
      </c>
    </row>
    <row r="668" spans="1:4" x14ac:dyDescent="0.25">
      <c r="A668" s="5">
        <f t="shared" si="75"/>
        <v>2006</v>
      </c>
      <c r="B668" s="5">
        <f t="shared" si="76"/>
        <v>39</v>
      </c>
      <c r="C668" s="2">
        <v>38989</v>
      </c>
      <c r="D668" s="1">
        <v>3327</v>
      </c>
    </row>
    <row r="669" spans="1:4" x14ac:dyDescent="0.25">
      <c r="A669" s="5">
        <f t="shared" si="75"/>
        <v>2006</v>
      </c>
      <c r="B669" s="5">
        <f t="shared" si="76"/>
        <v>40</v>
      </c>
      <c r="C669" s="2">
        <v>38996</v>
      </c>
      <c r="D669" s="1">
        <v>3389</v>
      </c>
    </row>
    <row r="670" spans="1:4" x14ac:dyDescent="0.25">
      <c r="A670" s="5">
        <f t="shared" si="75"/>
        <v>2006</v>
      </c>
      <c r="B670" s="5">
        <f t="shared" si="76"/>
        <v>41</v>
      </c>
      <c r="C670" s="2">
        <v>39003</v>
      </c>
      <c r="D670" s="1">
        <v>3442</v>
      </c>
    </row>
    <row r="671" spans="1:4" x14ac:dyDescent="0.25">
      <c r="A671" s="5">
        <f t="shared" si="75"/>
        <v>2006</v>
      </c>
      <c r="B671" s="5">
        <f t="shared" si="76"/>
        <v>42</v>
      </c>
      <c r="C671" s="2">
        <v>39010</v>
      </c>
      <c r="D671" s="1">
        <v>3461</v>
      </c>
    </row>
    <row r="672" spans="1:4" x14ac:dyDescent="0.25">
      <c r="A672" s="5">
        <f t="shared" si="75"/>
        <v>2006</v>
      </c>
      <c r="B672" s="5">
        <f t="shared" si="76"/>
        <v>43</v>
      </c>
      <c r="C672" s="2">
        <v>39017</v>
      </c>
      <c r="D672" s="1">
        <v>3452</v>
      </c>
    </row>
    <row r="673" spans="1:4" x14ac:dyDescent="0.25">
      <c r="A673" s="5">
        <f t="shared" si="75"/>
        <v>2006</v>
      </c>
      <c r="B673" s="5">
        <f t="shared" si="76"/>
        <v>44</v>
      </c>
      <c r="C673" s="2">
        <v>39024</v>
      </c>
      <c r="D673" s="1">
        <v>3445</v>
      </c>
    </row>
    <row r="674" spans="1:4" x14ac:dyDescent="0.25">
      <c r="A674" s="5">
        <f t="shared" si="75"/>
        <v>2006</v>
      </c>
      <c r="B674" s="5">
        <f t="shared" si="76"/>
        <v>45</v>
      </c>
      <c r="C674" s="2">
        <v>39031</v>
      </c>
      <c r="D674" s="1">
        <v>3450</v>
      </c>
    </row>
    <row r="675" spans="1:4" x14ac:dyDescent="0.25">
      <c r="A675" s="5">
        <f t="shared" si="75"/>
        <v>2006</v>
      </c>
      <c r="B675" s="5">
        <f t="shared" si="76"/>
        <v>46</v>
      </c>
      <c r="C675" s="2">
        <v>39038</v>
      </c>
      <c r="D675" s="1">
        <v>3449</v>
      </c>
    </row>
    <row r="676" spans="1:4" x14ac:dyDescent="0.25">
      <c r="A676" s="5">
        <f t="shared" si="75"/>
        <v>2006</v>
      </c>
      <c r="B676" s="5">
        <f t="shared" si="76"/>
        <v>47</v>
      </c>
      <c r="C676" s="2">
        <v>39045</v>
      </c>
      <c r="D676" s="1">
        <v>3417</v>
      </c>
    </row>
    <row r="677" spans="1:4" x14ac:dyDescent="0.25">
      <c r="A677" s="5">
        <f t="shared" si="75"/>
        <v>2006</v>
      </c>
      <c r="B677" s="5">
        <f t="shared" si="76"/>
        <v>48</v>
      </c>
      <c r="C677" s="2">
        <v>39052</v>
      </c>
      <c r="D677" s="1">
        <v>3406</v>
      </c>
    </row>
    <row r="678" spans="1:4" x14ac:dyDescent="0.25">
      <c r="A678" s="5">
        <f t="shared" si="75"/>
        <v>2006</v>
      </c>
      <c r="B678" s="5">
        <f t="shared" si="76"/>
        <v>49</v>
      </c>
      <c r="C678" s="2">
        <v>39059</v>
      </c>
      <c r="D678" s="1">
        <v>3238</v>
      </c>
    </row>
    <row r="679" spans="1:4" x14ac:dyDescent="0.25">
      <c r="A679" s="5">
        <f t="shared" si="75"/>
        <v>2006</v>
      </c>
      <c r="B679" s="5">
        <f t="shared" si="76"/>
        <v>50</v>
      </c>
      <c r="C679" s="2">
        <v>39066</v>
      </c>
      <c r="D679" s="1">
        <v>3167</v>
      </c>
    </row>
    <row r="680" spans="1:4" x14ac:dyDescent="0.25">
      <c r="A680" s="5">
        <f t="shared" si="75"/>
        <v>2006</v>
      </c>
      <c r="B680" s="5">
        <f t="shared" si="76"/>
        <v>51</v>
      </c>
      <c r="C680" s="2">
        <v>39073</v>
      </c>
      <c r="D680" s="1">
        <v>3121</v>
      </c>
    </row>
    <row r="681" spans="1:4" x14ac:dyDescent="0.25">
      <c r="A681" s="5">
        <f t="shared" si="75"/>
        <v>2006</v>
      </c>
      <c r="B681" s="5">
        <f t="shared" si="76"/>
        <v>52</v>
      </c>
      <c r="C681" s="2">
        <v>39080</v>
      </c>
      <c r="D681" s="1">
        <v>3074</v>
      </c>
    </row>
    <row r="682" spans="1:4" x14ac:dyDescent="0.25">
      <c r="A682" s="5">
        <f t="shared" si="75"/>
        <v>2007</v>
      </c>
      <c r="B682" s="5">
        <f t="shared" si="76"/>
        <v>1</v>
      </c>
      <c r="C682" s="2">
        <v>39087</v>
      </c>
      <c r="D682" s="1">
        <v>3025</v>
      </c>
    </row>
    <row r="683" spans="1:4" x14ac:dyDescent="0.25">
      <c r="A683" s="5">
        <f t="shared" si="75"/>
        <v>2007</v>
      </c>
      <c r="B683" s="5">
        <f t="shared" si="76"/>
        <v>2</v>
      </c>
      <c r="C683" s="2">
        <v>39094</v>
      </c>
      <c r="D683" s="1">
        <v>2936</v>
      </c>
    </row>
    <row r="684" spans="1:4" x14ac:dyDescent="0.25">
      <c r="A684" s="5">
        <f t="shared" si="75"/>
        <v>2007</v>
      </c>
      <c r="B684" s="5">
        <f t="shared" si="76"/>
        <v>3</v>
      </c>
      <c r="C684" s="2">
        <v>39101</v>
      </c>
      <c r="D684" s="1">
        <v>2757</v>
      </c>
    </row>
    <row r="685" spans="1:4" x14ac:dyDescent="0.25">
      <c r="A685" s="5">
        <f t="shared" si="75"/>
        <v>2007</v>
      </c>
      <c r="B685" s="5">
        <f t="shared" si="76"/>
        <v>4</v>
      </c>
      <c r="C685" s="2">
        <v>39108</v>
      </c>
      <c r="D685" s="1">
        <v>2571</v>
      </c>
    </row>
    <row r="686" spans="1:4" x14ac:dyDescent="0.25">
      <c r="A686" s="5">
        <f t="shared" si="75"/>
        <v>2007</v>
      </c>
      <c r="B686" s="5">
        <f t="shared" si="76"/>
        <v>5</v>
      </c>
      <c r="C686" s="2">
        <v>39115</v>
      </c>
      <c r="D686" s="1">
        <v>2347</v>
      </c>
    </row>
    <row r="687" spans="1:4" x14ac:dyDescent="0.25">
      <c r="A687" s="5">
        <f t="shared" si="75"/>
        <v>2007</v>
      </c>
      <c r="B687" s="5">
        <f t="shared" si="76"/>
        <v>6</v>
      </c>
      <c r="C687" s="2">
        <v>39122</v>
      </c>
      <c r="D687" s="1">
        <v>2088</v>
      </c>
    </row>
    <row r="688" spans="1:4" x14ac:dyDescent="0.25">
      <c r="A688" s="5">
        <f t="shared" si="75"/>
        <v>2007</v>
      </c>
      <c r="B688" s="5">
        <f t="shared" si="76"/>
        <v>7</v>
      </c>
      <c r="C688" s="2">
        <v>39129</v>
      </c>
      <c r="D688" s="1">
        <v>1865</v>
      </c>
    </row>
    <row r="689" spans="1:4" x14ac:dyDescent="0.25">
      <c r="A689" s="5">
        <f t="shared" si="75"/>
        <v>2007</v>
      </c>
      <c r="B689" s="5">
        <f t="shared" si="76"/>
        <v>8</v>
      </c>
      <c r="C689" s="2">
        <v>39136</v>
      </c>
      <c r="D689" s="1">
        <v>1733</v>
      </c>
    </row>
    <row r="690" spans="1:4" x14ac:dyDescent="0.25">
      <c r="A690" s="5">
        <f t="shared" si="75"/>
        <v>2007</v>
      </c>
      <c r="B690" s="5">
        <f t="shared" si="76"/>
        <v>9</v>
      </c>
      <c r="C690" s="2">
        <v>39143</v>
      </c>
      <c r="D690" s="1">
        <v>1631</v>
      </c>
    </row>
    <row r="691" spans="1:4" x14ac:dyDescent="0.25">
      <c r="A691" s="5">
        <f t="shared" si="75"/>
        <v>2007</v>
      </c>
      <c r="B691" s="5">
        <f t="shared" si="76"/>
        <v>10</v>
      </c>
      <c r="C691" s="2">
        <v>39150</v>
      </c>
      <c r="D691" s="1">
        <v>1516</v>
      </c>
    </row>
    <row r="692" spans="1:4" x14ac:dyDescent="0.25">
      <c r="A692" s="5">
        <f t="shared" si="75"/>
        <v>2007</v>
      </c>
      <c r="B692" s="5">
        <f t="shared" si="76"/>
        <v>11</v>
      </c>
      <c r="C692" s="2">
        <v>39157</v>
      </c>
      <c r="D692" s="1">
        <v>1533</v>
      </c>
    </row>
    <row r="693" spans="1:4" x14ac:dyDescent="0.25">
      <c r="A693" s="5">
        <f t="shared" si="75"/>
        <v>2007</v>
      </c>
      <c r="B693" s="5">
        <f t="shared" si="76"/>
        <v>12</v>
      </c>
      <c r="C693" s="2">
        <v>39164</v>
      </c>
      <c r="D693" s="1">
        <v>1511</v>
      </c>
    </row>
    <row r="694" spans="1:4" x14ac:dyDescent="0.25">
      <c r="A694" s="5">
        <f t="shared" si="75"/>
        <v>2007</v>
      </c>
      <c r="B694" s="5">
        <f t="shared" si="76"/>
        <v>13</v>
      </c>
      <c r="C694" s="2">
        <v>39171</v>
      </c>
      <c r="D694" s="1">
        <v>1569</v>
      </c>
    </row>
    <row r="695" spans="1:4" x14ac:dyDescent="0.25">
      <c r="A695" s="5">
        <f t="shared" si="75"/>
        <v>2007</v>
      </c>
      <c r="B695" s="5">
        <f t="shared" si="76"/>
        <v>14</v>
      </c>
      <c r="C695" s="2">
        <v>39178</v>
      </c>
      <c r="D695" s="1">
        <v>1592</v>
      </c>
    </row>
    <row r="696" spans="1:4" x14ac:dyDescent="0.25">
      <c r="A696" s="5">
        <f t="shared" si="75"/>
        <v>2007</v>
      </c>
      <c r="B696" s="5">
        <f t="shared" si="76"/>
        <v>15</v>
      </c>
      <c r="C696" s="2">
        <v>39185</v>
      </c>
      <c r="D696" s="1">
        <v>1546</v>
      </c>
    </row>
    <row r="697" spans="1:4" x14ac:dyDescent="0.25">
      <c r="A697" s="5">
        <f t="shared" si="75"/>
        <v>2007</v>
      </c>
      <c r="B697" s="5">
        <f t="shared" si="76"/>
        <v>16</v>
      </c>
      <c r="C697" s="2">
        <v>39192</v>
      </c>
      <c r="D697" s="1">
        <v>1564</v>
      </c>
    </row>
    <row r="698" spans="1:4" x14ac:dyDescent="0.25">
      <c r="A698" s="5">
        <f t="shared" si="75"/>
        <v>2007</v>
      </c>
      <c r="B698" s="5">
        <f t="shared" si="76"/>
        <v>17</v>
      </c>
      <c r="C698" s="2">
        <v>39199</v>
      </c>
      <c r="D698" s="1">
        <v>1651</v>
      </c>
    </row>
    <row r="699" spans="1:4" x14ac:dyDescent="0.25">
      <c r="A699" s="5">
        <f t="shared" si="75"/>
        <v>2007</v>
      </c>
      <c r="B699" s="5">
        <f t="shared" si="76"/>
        <v>18</v>
      </c>
      <c r="C699" s="2">
        <v>39206</v>
      </c>
      <c r="D699" s="1">
        <v>1747</v>
      </c>
    </row>
    <row r="700" spans="1:4" x14ac:dyDescent="0.25">
      <c r="A700" s="5">
        <f t="shared" si="75"/>
        <v>2007</v>
      </c>
      <c r="B700" s="5">
        <f t="shared" si="76"/>
        <v>19</v>
      </c>
      <c r="C700" s="2">
        <v>39213</v>
      </c>
      <c r="D700" s="1">
        <v>1842</v>
      </c>
    </row>
    <row r="701" spans="1:4" x14ac:dyDescent="0.25">
      <c r="A701" s="5">
        <f t="shared" si="75"/>
        <v>2007</v>
      </c>
      <c r="B701" s="5">
        <f t="shared" si="76"/>
        <v>20</v>
      </c>
      <c r="C701" s="2">
        <v>39220</v>
      </c>
      <c r="D701" s="1">
        <v>1946</v>
      </c>
    </row>
    <row r="702" spans="1:4" x14ac:dyDescent="0.25">
      <c r="A702" s="5">
        <f t="shared" si="75"/>
        <v>2007</v>
      </c>
      <c r="B702" s="5">
        <f t="shared" si="76"/>
        <v>21</v>
      </c>
      <c r="C702" s="2">
        <v>39227</v>
      </c>
      <c r="D702" s="1">
        <v>2053</v>
      </c>
    </row>
    <row r="703" spans="1:4" x14ac:dyDescent="0.25">
      <c r="A703" s="5">
        <f t="shared" si="75"/>
        <v>2007</v>
      </c>
      <c r="B703" s="5">
        <f t="shared" si="76"/>
        <v>22</v>
      </c>
      <c r="C703" s="2">
        <v>39234</v>
      </c>
      <c r="D703" s="1">
        <v>2163</v>
      </c>
    </row>
    <row r="704" spans="1:4" x14ac:dyDescent="0.25">
      <c r="A704" s="5">
        <f t="shared" si="75"/>
        <v>2007</v>
      </c>
      <c r="B704" s="5">
        <f t="shared" si="76"/>
        <v>23</v>
      </c>
      <c r="C704" s="2">
        <v>39241</v>
      </c>
      <c r="D704" s="1">
        <v>2255</v>
      </c>
    </row>
    <row r="705" spans="1:4" x14ac:dyDescent="0.25">
      <c r="A705" s="5">
        <f t="shared" si="75"/>
        <v>2007</v>
      </c>
      <c r="B705" s="5">
        <f t="shared" si="76"/>
        <v>24</v>
      </c>
      <c r="C705" s="2">
        <v>39248</v>
      </c>
      <c r="D705" s="1">
        <v>2344</v>
      </c>
    </row>
    <row r="706" spans="1:4" x14ac:dyDescent="0.25">
      <c r="A706" s="5">
        <f t="shared" si="75"/>
        <v>2007</v>
      </c>
      <c r="B706" s="5">
        <f t="shared" si="76"/>
        <v>25</v>
      </c>
      <c r="C706" s="2">
        <v>39255</v>
      </c>
      <c r="D706" s="1">
        <v>2443</v>
      </c>
    </row>
    <row r="707" spans="1:4" x14ac:dyDescent="0.25">
      <c r="A707" s="5">
        <f t="shared" ref="A707:A770" si="77">YEAR(C707)</f>
        <v>2007</v>
      </c>
      <c r="B707" s="5">
        <f t="shared" ref="B707:B770" si="78">WEEKNUM(C707)</f>
        <v>26</v>
      </c>
      <c r="C707" s="2">
        <v>39262</v>
      </c>
      <c r="D707" s="1">
        <v>2521</v>
      </c>
    </row>
    <row r="708" spans="1:4" x14ac:dyDescent="0.25">
      <c r="A708" s="5">
        <f t="shared" si="77"/>
        <v>2007</v>
      </c>
      <c r="B708" s="5">
        <f t="shared" si="78"/>
        <v>27</v>
      </c>
      <c r="C708" s="2">
        <v>39269</v>
      </c>
      <c r="D708" s="1">
        <v>2627</v>
      </c>
    </row>
    <row r="709" spans="1:4" x14ac:dyDescent="0.25">
      <c r="A709" s="5">
        <f t="shared" si="77"/>
        <v>2007</v>
      </c>
      <c r="B709" s="5">
        <f t="shared" si="78"/>
        <v>28</v>
      </c>
      <c r="C709" s="2">
        <v>39276</v>
      </c>
      <c r="D709" s="1">
        <v>2692</v>
      </c>
    </row>
    <row r="710" spans="1:4" x14ac:dyDescent="0.25">
      <c r="A710" s="5">
        <f t="shared" si="77"/>
        <v>2007</v>
      </c>
      <c r="B710" s="5">
        <f t="shared" si="78"/>
        <v>29</v>
      </c>
      <c r="C710" s="2">
        <v>39283</v>
      </c>
      <c r="D710" s="1">
        <v>2763</v>
      </c>
    </row>
    <row r="711" spans="1:4" x14ac:dyDescent="0.25">
      <c r="A711" s="5">
        <f t="shared" si="77"/>
        <v>2007</v>
      </c>
      <c r="B711" s="5">
        <f t="shared" si="78"/>
        <v>30</v>
      </c>
      <c r="C711" s="2">
        <v>39290</v>
      </c>
      <c r="D711" s="1">
        <v>2840</v>
      </c>
    </row>
    <row r="712" spans="1:4" x14ac:dyDescent="0.25">
      <c r="A712" s="5">
        <f t="shared" si="77"/>
        <v>2007</v>
      </c>
      <c r="B712" s="5">
        <f t="shared" si="78"/>
        <v>31</v>
      </c>
      <c r="C712" s="2">
        <v>39297</v>
      </c>
      <c r="D712" s="1">
        <v>2882</v>
      </c>
    </row>
    <row r="713" spans="1:4" x14ac:dyDescent="0.25">
      <c r="A713" s="5">
        <f t="shared" si="77"/>
        <v>2007</v>
      </c>
      <c r="B713" s="5">
        <f t="shared" si="78"/>
        <v>32</v>
      </c>
      <c r="C713" s="2">
        <v>39304</v>
      </c>
      <c r="D713" s="1">
        <v>2903</v>
      </c>
    </row>
    <row r="714" spans="1:4" x14ac:dyDescent="0.25">
      <c r="A714" s="5">
        <f t="shared" si="77"/>
        <v>2007</v>
      </c>
      <c r="B714" s="5">
        <f t="shared" si="78"/>
        <v>33</v>
      </c>
      <c r="C714" s="2">
        <v>39311</v>
      </c>
      <c r="D714" s="1">
        <v>2926</v>
      </c>
    </row>
    <row r="715" spans="1:4" x14ac:dyDescent="0.25">
      <c r="A715" s="5">
        <f t="shared" si="77"/>
        <v>2007</v>
      </c>
      <c r="B715" s="5">
        <f t="shared" si="78"/>
        <v>34</v>
      </c>
      <c r="C715" s="2">
        <v>39318</v>
      </c>
      <c r="D715" s="1">
        <v>2969</v>
      </c>
    </row>
    <row r="716" spans="1:4" x14ac:dyDescent="0.25">
      <c r="A716" s="5">
        <f t="shared" si="77"/>
        <v>2007</v>
      </c>
      <c r="B716" s="5">
        <f t="shared" si="78"/>
        <v>35</v>
      </c>
      <c r="C716" s="2">
        <v>39325</v>
      </c>
      <c r="D716" s="1">
        <v>3005</v>
      </c>
    </row>
    <row r="717" spans="1:4" x14ac:dyDescent="0.25">
      <c r="A717" s="5">
        <f t="shared" si="77"/>
        <v>2007</v>
      </c>
      <c r="B717" s="5">
        <f t="shared" si="78"/>
        <v>36</v>
      </c>
      <c r="C717" s="2">
        <v>39332</v>
      </c>
      <c r="D717" s="1">
        <v>3069</v>
      </c>
    </row>
    <row r="718" spans="1:4" x14ac:dyDescent="0.25">
      <c r="A718" s="5">
        <f t="shared" si="77"/>
        <v>2007</v>
      </c>
      <c r="B718" s="5">
        <f t="shared" si="78"/>
        <v>37</v>
      </c>
      <c r="C718" s="2">
        <v>39339</v>
      </c>
      <c r="D718" s="1">
        <v>3132</v>
      </c>
    </row>
    <row r="719" spans="1:4" x14ac:dyDescent="0.25">
      <c r="A719" s="5">
        <f t="shared" si="77"/>
        <v>2007</v>
      </c>
      <c r="B719" s="5">
        <f t="shared" si="78"/>
        <v>38</v>
      </c>
      <c r="C719" s="2">
        <v>39346</v>
      </c>
      <c r="D719" s="1">
        <v>3206</v>
      </c>
    </row>
    <row r="720" spans="1:4" x14ac:dyDescent="0.25">
      <c r="A720" s="5">
        <f t="shared" si="77"/>
        <v>2007</v>
      </c>
      <c r="B720" s="5">
        <f t="shared" si="78"/>
        <v>39</v>
      </c>
      <c r="C720" s="2">
        <v>39353</v>
      </c>
      <c r="D720" s="1">
        <v>3263</v>
      </c>
    </row>
    <row r="721" spans="1:4" x14ac:dyDescent="0.25">
      <c r="A721" s="5">
        <f t="shared" si="77"/>
        <v>2007</v>
      </c>
      <c r="B721" s="5">
        <f t="shared" si="78"/>
        <v>40</v>
      </c>
      <c r="C721" s="2">
        <v>39360</v>
      </c>
      <c r="D721" s="1">
        <v>3336</v>
      </c>
    </row>
    <row r="722" spans="1:4" x14ac:dyDescent="0.25">
      <c r="A722" s="5">
        <f t="shared" si="77"/>
        <v>2007</v>
      </c>
      <c r="B722" s="5">
        <f t="shared" si="78"/>
        <v>41</v>
      </c>
      <c r="C722" s="2">
        <v>39367</v>
      </c>
      <c r="D722" s="1">
        <v>3375</v>
      </c>
    </row>
    <row r="723" spans="1:4" x14ac:dyDescent="0.25">
      <c r="A723" s="5">
        <f t="shared" si="77"/>
        <v>2007</v>
      </c>
      <c r="B723" s="5">
        <f t="shared" si="78"/>
        <v>42</v>
      </c>
      <c r="C723" s="2">
        <v>39374</v>
      </c>
      <c r="D723" s="1">
        <v>3443</v>
      </c>
    </row>
    <row r="724" spans="1:4" x14ac:dyDescent="0.25">
      <c r="A724" s="5">
        <f t="shared" si="77"/>
        <v>2007</v>
      </c>
      <c r="B724" s="5">
        <f t="shared" si="78"/>
        <v>43</v>
      </c>
      <c r="C724" s="2">
        <v>39381</v>
      </c>
      <c r="D724" s="1">
        <v>3509</v>
      </c>
    </row>
    <row r="725" spans="1:4" x14ac:dyDescent="0.25">
      <c r="A725" s="5">
        <f t="shared" si="77"/>
        <v>2007</v>
      </c>
      <c r="B725" s="5">
        <f t="shared" si="78"/>
        <v>44</v>
      </c>
      <c r="C725" s="2">
        <v>39388</v>
      </c>
      <c r="D725" s="1">
        <v>3545</v>
      </c>
    </row>
    <row r="726" spans="1:4" x14ac:dyDescent="0.25">
      <c r="A726" s="5">
        <f t="shared" si="77"/>
        <v>2007</v>
      </c>
      <c r="B726" s="5">
        <f t="shared" si="78"/>
        <v>45</v>
      </c>
      <c r="C726" s="2">
        <v>39395</v>
      </c>
      <c r="D726" s="1">
        <v>3536</v>
      </c>
    </row>
    <row r="727" spans="1:4" x14ac:dyDescent="0.25">
      <c r="A727" s="5">
        <f t="shared" si="77"/>
        <v>2007</v>
      </c>
      <c r="B727" s="5">
        <f t="shared" si="78"/>
        <v>46</v>
      </c>
      <c r="C727" s="2">
        <v>39402</v>
      </c>
      <c r="D727" s="1">
        <v>3540</v>
      </c>
    </row>
    <row r="728" spans="1:4" x14ac:dyDescent="0.25">
      <c r="A728" s="5">
        <f t="shared" si="77"/>
        <v>2007</v>
      </c>
      <c r="B728" s="5">
        <f t="shared" si="78"/>
        <v>47</v>
      </c>
      <c r="C728" s="2">
        <v>39409</v>
      </c>
      <c r="D728" s="1">
        <v>3528</v>
      </c>
    </row>
    <row r="729" spans="1:4" x14ac:dyDescent="0.25">
      <c r="A729" s="5">
        <f t="shared" si="77"/>
        <v>2007</v>
      </c>
      <c r="B729" s="5">
        <f t="shared" si="78"/>
        <v>48</v>
      </c>
      <c r="C729" s="2">
        <v>39416</v>
      </c>
      <c r="D729" s="1">
        <v>3440</v>
      </c>
    </row>
    <row r="730" spans="1:4" x14ac:dyDescent="0.25">
      <c r="A730" s="5">
        <f t="shared" si="77"/>
        <v>2007</v>
      </c>
      <c r="B730" s="5">
        <f t="shared" si="78"/>
        <v>49</v>
      </c>
      <c r="C730" s="2">
        <v>39423</v>
      </c>
      <c r="D730" s="1">
        <v>3294</v>
      </c>
    </row>
    <row r="731" spans="1:4" x14ac:dyDescent="0.25">
      <c r="A731" s="5">
        <f t="shared" si="77"/>
        <v>2007</v>
      </c>
      <c r="B731" s="5">
        <f t="shared" si="78"/>
        <v>50</v>
      </c>
      <c r="C731" s="2">
        <v>39430</v>
      </c>
      <c r="D731" s="1">
        <v>3173</v>
      </c>
    </row>
    <row r="732" spans="1:4" x14ac:dyDescent="0.25">
      <c r="A732" s="5">
        <f t="shared" si="77"/>
        <v>2007</v>
      </c>
      <c r="B732" s="5">
        <f t="shared" si="78"/>
        <v>51</v>
      </c>
      <c r="C732" s="2">
        <v>39437</v>
      </c>
      <c r="D732" s="1">
        <v>3008</v>
      </c>
    </row>
    <row r="733" spans="1:4" x14ac:dyDescent="0.25">
      <c r="A733" s="5">
        <f t="shared" si="77"/>
        <v>2007</v>
      </c>
      <c r="B733" s="5">
        <f t="shared" si="78"/>
        <v>52</v>
      </c>
      <c r="C733" s="2">
        <v>39444</v>
      </c>
      <c r="D733" s="1">
        <v>2921</v>
      </c>
    </row>
    <row r="734" spans="1:4" x14ac:dyDescent="0.25">
      <c r="A734" s="5">
        <f t="shared" si="77"/>
        <v>2008</v>
      </c>
      <c r="B734" s="5">
        <f t="shared" si="78"/>
        <v>1</v>
      </c>
      <c r="C734" s="2">
        <v>39451</v>
      </c>
      <c r="D734" s="1">
        <v>2750</v>
      </c>
    </row>
    <row r="735" spans="1:4" x14ac:dyDescent="0.25">
      <c r="A735" s="5">
        <f t="shared" si="77"/>
        <v>2008</v>
      </c>
      <c r="B735" s="5">
        <f t="shared" si="78"/>
        <v>2</v>
      </c>
      <c r="C735" s="2">
        <v>39458</v>
      </c>
      <c r="D735" s="1">
        <v>2691</v>
      </c>
    </row>
    <row r="736" spans="1:4" x14ac:dyDescent="0.25">
      <c r="A736" s="5">
        <f t="shared" si="77"/>
        <v>2008</v>
      </c>
      <c r="B736" s="5">
        <f t="shared" si="78"/>
        <v>3</v>
      </c>
      <c r="C736" s="2">
        <v>39465</v>
      </c>
      <c r="D736" s="1">
        <v>2536</v>
      </c>
    </row>
    <row r="737" spans="1:4" x14ac:dyDescent="0.25">
      <c r="A737" s="5">
        <f t="shared" si="77"/>
        <v>2008</v>
      </c>
      <c r="B737" s="5">
        <f t="shared" si="78"/>
        <v>4</v>
      </c>
      <c r="C737" s="2">
        <v>39472</v>
      </c>
      <c r="D737" s="1">
        <v>2262</v>
      </c>
    </row>
    <row r="738" spans="1:4" x14ac:dyDescent="0.25">
      <c r="A738" s="5">
        <f t="shared" si="77"/>
        <v>2008</v>
      </c>
      <c r="B738" s="5">
        <f t="shared" si="78"/>
        <v>5</v>
      </c>
      <c r="C738" s="2">
        <v>39479</v>
      </c>
      <c r="D738" s="1">
        <v>2062</v>
      </c>
    </row>
    <row r="739" spans="1:4" x14ac:dyDescent="0.25">
      <c r="A739" s="5">
        <f t="shared" si="77"/>
        <v>2008</v>
      </c>
      <c r="B739" s="5">
        <f t="shared" si="78"/>
        <v>6</v>
      </c>
      <c r="C739" s="2">
        <v>39486</v>
      </c>
      <c r="D739" s="1">
        <v>1942</v>
      </c>
    </row>
    <row r="740" spans="1:4" x14ac:dyDescent="0.25">
      <c r="A740" s="5">
        <f t="shared" si="77"/>
        <v>2008</v>
      </c>
      <c r="B740" s="5">
        <f t="shared" si="78"/>
        <v>7</v>
      </c>
      <c r="C740" s="2">
        <v>39493</v>
      </c>
      <c r="D740" s="1">
        <v>1770</v>
      </c>
    </row>
    <row r="741" spans="1:4" x14ac:dyDescent="0.25">
      <c r="A741" s="5">
        <f t="shared" si="77"/>
        <v>2008</v>
      </c>
      <c r="B741" s="5">
        <f t="shared" si="78"/>
        <v>8</v>
      </c>
      <c r="C741" s="2">
        <v>39500</v>
      </c>
      <c r="D741" s="1">
        <v>1619</v>
      </c>
    </row>
    <row r="742" spans="1:4" x14ac:dyDescent="0.25">
      <c r="A742" s="5">
        <f t="shared" si="77"/>
        <v>2008</v>
      </c>
      <c r="B742" s="5">
        <f t="shared" si="78"/>
        <v>9</v>
      </c>
      <c r="C742" s="2">
        <v>39507</v>
      </c>
      <c r="D742" s="1">
        <v>1484</v>
      </c>
    </row>
    <row r="743" spans="1:4" x14ac:dyDescent="0.25">
      <c r="A743" s="5">
        <f t="shared" si="77"/>
        <v>2008</v>
      </c>
      <c r="B743" s="5">
        <f t="shared" si="78"/>
        <v>10</v>
      </c>
      <c r="C743" s="2">
        <v>39514</v>
      </c>
      <c r="D743" s="1">
        <v>1398</v>
      </c>
    </row>
    <row r="744" spans="1:4" x14ac:dyDescent="0.25">
      <c r="A744" s="5">
        <f t="shared" si="77"/>
        <v>2008</v>
      </c>
      <c r="B744" s="5">
        <f t="shared" si="78"/>
        <v>11</v>
      </c>
      <c r="C744" s="2">
        <v>39521</v>
      </c>
      <c r="D744" s="1">
        <v>1313</v>
      </c>
    </row>
    <row r="745" spans="1:4" x14ac:dyDescent="0.25">
      <c r="A745" s="5">
        <f t="shared" si="77"/>
        <v>2008</v>
      </c>
      <c r="B745" s="5">
        <f t="shared" si="78"/>
        <v>12</v>
      </c>
      <c r="C745" s="2">
        <v>39528</v>
      </c>
      <c r="D745" s="1">
        <v>1277</v>
      </c>
    </row>
    <row r="746" spans="1:4" x14ac:dyDescent="0.25">
      <c r="A746" s="5">
        <f t="shared" si="77"/>
        <v>2008</v>
      </c>
      <c r="B746" s="5">
        <f t="shared" si="78"/>
        <v>13</v>
      </c>
      <c r="C746" s="2">
        <v>39535</v>
      </c>
      <c r="D746" s="1">
        <v>1248</v>
      </c>
    </row>
    <row r="747" spans="1:4" x14ac:dyDescent="0.25">
      <c r="A747" s="5">
        <f t="shared" si="77"/>
        <v>2008</v>
      </c>
      <c r="B747" s="5">
        <f t="shared" si="78"/>
        <v>14</v>
      </c>
      <c r="C747" s="2">
        <v>39542</v>
      </c>
      <c r="D747" s="1">
        <v>1234</v>
      </c>
    </row>
    <row r="748" spans="1:4" x14ac:dyDescent="0.25">
      <c r="A748" s="5">
        <f t="shared" si="77"/>
        <v>2008</v>
      </c>
      <c r="B748" s="5">
        <f t="shared" si="78"/>
        <v>15</v>
      </c>
      <c r="C748" s="2">
        <v>39549</v>
      </c>
      <c r="D748" s="1">
        <v>1261</v>
      </c>
    </row>
    <row r="749" spans="1:4" x14ac:dyDescent="0.25">
      <c r="A749" s="5">
        <f t="shared" si="77"/>
        <v>2008</v>
      </c>
      <c r="B749" s="5">
        <f t="shared" si="78"/>
        <v>16</v>
      </c>
      <c r="C749" s="2">
        <v>39556</v>
      </c>
      <c r="D749" s="1">
        <v>1285</v>
      </c>
    </row>
    <row r="750" spans="1:4" x14ac:dyDescent="0.25">
      <c r="A750" s="5">
        <f t="shared" si="77"/>
        <v>2008</v>
      </c>
      <c r="B750" s="5">
        <f t="shared" si="78"/>
        <v>17</v>
      </c>
      <c r="C750" s="2">
        <v>39563</v>
      </c>
      <c r="D750" s="1">
        <v>1371</v>
      </c>
    </row>
    <row r="751" spans="1:4" x14ac:dyDescent="0.25">
      <c r="A751" s="5">
        <f t="shared" si="77"/>
        <v>2008</v>
      </c>
      <c r="B751" s="5">
        <f t="shared" si="78"/>
        <v>18</v>
      </c>
      <c r="C751" s="2">
        <v>39570</v>
      </c>
      <c r="D751" s="1">
        <v>1436</v>
      </c>
    </row>
    <row r="752" spans="1:4" x14ac:dyDescent="0.25">
      <c r="A752" s="5">
        <f t="shared" si="77"/>
        <v>2008</v>
      </c>
      <c r="B752" s="5">
        <f t="shared" si="78"/>
        <v>19</v>
      </c>
      <c r="C752" s="2">
        <v>39577</v>
      </c>
      <c r="D752" s="1">
        <v>1529</v>
      </c>
    </row>
    <row r="753" spans="1:4" x14ac:dyDescent="0.25">
      <c r="A753" s="5">
        <f t="shared" si="77"/>
        <v>2008</v>
      </c>
      <c r="B753" s="5">
        <f t="shared" si="78"/>
        <v>20</v>
      </c>
      <c r="C753" s="2">
        <v>39584</v>
      </c>
      <c r="D753" s="1">
        <v>1614</v>
      </c>
    </row>
    <row r="754" spans="1:4" x14ac:dyDescent="0.25">
      <c r="A754" s="5">
        <f t="shared" si="77"/>
        <v>2008</v>
      </c>
      <c r="B754" s="5">
        <f t="shared" si="78"/>
        <v>21</v>
      </c>
      <c r="C754" s="2">
        <v>39591</v>
      </c>
      <c r="D754" s="1">
        <v>1701</v>
      </c>
    </row>
    <row r="755" spans="1:4" x14ac:dyDescent="0.25">
      <c r="A755" s="5">
        <f t="shared" si="77"/>
        <v>2008</v>
      </c>
      <c r="B755" s="5">
        <f t="shared" si="78"/>
        <v>22</v>
      </c>
      <c r="C755" s="2">
        <v>39598</v>
      </c>
      <c r="D755" s="1">
        <v>1806</v>
      </c>
    </row>
    <row r="756" spans="1:4" x14ac:dyDescent="0.25">
      <c r="A756" s="5">
        <f t="shared" si="77"/>
        <v>2008</v>
      </c>
      <c r="B756" s="5">
        <f t="shared" si="78"/>
        <v>23</v>
      </c>
      <c r="C756" s="2">
        <v>39605</v>
      </c>
      <c r="D756" s="1">
        <v>1886</v>
      </c>
    </row>
    <row r="757" spans="1:4" x14ac:dyDescent="0.25">
      <c r="A757" s="5">
        <f t="shared" si="77"/>
        <v>2008</v>
      </c>
      <c r="B757" s="5">
        <f t="shared" si="78"/>
        <v>24</v>
      </c>
      <c r="C757" s="2">
        <v>39612</v>
      </c>
      <c r="D757" s="1">
        <v>1943</v>
      </c>
    </row>
    <row r="758" spans="1:4" x14ac:dyDescent="0.25">
      <c r="A758" s="5">
        <f t="shared" si="77"/>
        <v>2008</v>
      </c>
      <c r="B758" s="5">
        <f t="shared" si="78"/>
        <v>25</v>
      </c>
      <c r="C758" s="2">
        <v>39619</v>
      </c>
      <c r="D758" s="1">
        <v>2033</v>
      </c>
    </row>
    <row r="759" spans="1:4" x14ac:dyDescent="0.25">
      <c r="A759" s="5">
        <f t="shared" si="77"/>
        <v>2008</v>
      </c>
      <c r="B759" s="5">
        <f t="shared" si="78"/>
        <v>26</v>
      </c>
      <c r="C759" s="2">
        <v>39626</v>
      </c>
      <c r="D759" s="1">
        <v>2118</v>
      </c>
    </row>
    <row r="760" spans="1:4" x14ac:dyDescent="0.25">
      <c r="A760" s="5">
        <f t="shared" si="77"/>
        <v>2008</v>
      </c>
      <c r="B760" s="5">
        <f t="shared" si="78"/>
        <v>27</v>
      </c>
      <c r="C760" s="2">
        <v>39633</v>
      </c>
      <c r="D760" s="1">
        <v>2208</v>
      </c>
    </row>
    <row r="761" spans="1:4" x14ac:dyDescent="0.25">
      <c r="A761" s="5">
        <f t="shared" si="77"/>
        <v>2008</v>
      </c>
      <c r="B761" s="5">
        <f t="shared" si="78"/>
        <v>28</v>
      </c>
      <c r="C761" s="2">
        <v>39640</v>
      </c>
      <c r="D761" s="1">
        <v>2312</v>
      </c>
    </row>
    <row r="762" spans="1:4" x14ac:dyDescent="0.25">
      <c r="A762" s="5">
        <f t="shared" si="77"/>
        <v>2008</v>
      </c>
      <c r="B762" s="5">
        <f t="shared" si="78"/>
        <v>29</v>
      </c>
      <c r="C762" s="2">
        <v>39647</v>
      </c>
      <c r="D762" s="1">
        <v>2396</v>
      </c>
    </row>
    <row r="763" spans="1:4" x14ac:dyDescent="0.25">
      <c r="A763" s="5">
        <f t="shared" si="77"/>
        <v>2008</v>
      </c>
      <c r="B763" s="5">
        <f t="shared" si="78"/>
        <v>30</v>
      </c>
      <c r="C763" s="2">
        <v>39654</v>
      </c>
      <c r="D763" s="1">
        <v>2461</v>
      </c>
    </row>
    <row r="764" spans="1:4" x14ac:dyDescent="0.25">
      <c r="A764" s="5">
        <f t="shared" si="77"/>
        <v>2008</v>
      </c>
      <c r="B764" s="5">
        <f t="shared" si="78"/>
        <v>31</v>
      </c>
      <c r="C764" s="2">
        <v>39661</v>
      </c>
      <c r="D764" s="1">
        <v>2517</v>
      </c>
    </row>
    <row r="765" spans="1:4" x14ac:dyDescent="0.25">
      <c r="A765" s="5">
        <f t="shared" si="77"/>
        <v>2008</v>
      </c>
      <c r="B765" s="5">
        <f t="shared" si="78"/>
        <v>32</v>
      </c>
      <c r="C765" s="2">
        <v>39668</v>
      </c>
      <c r="D765" s="1">
        <v>2567</v>
      </c>
    </row>
    <row r="766" spans="1:4" x14ac:dyDescent="0.25">
      <c r="A766" s="5">
        <f t="shared" si="77"/>
        <v>2008</v>
      </c>
      <c r="B766" s="5">
        <f t="shared" si="78"/>
        <v>33</v>
      </c>
      <c r="C766" s="2">
        <v>39675</v>
      </c>
      <c r="D766" s="1">
        <v>2655</v>
      </c>
    </row>
    <row r="767" spans="1:4" x14ac:dyDescent="0.25">
      <c r="A767" s="5">
        <f t="shared" si="77"/>
        <v>2008</v>
      </c>
      <c r="B767" s="5">
        <f t="shared" si="78"/>
        <v>34</v>
      </c>
      <c r="C767" s="2">
        <v>39682</v>
      </c>
      <c r="D767" s="1">
        <v>2757</v>
      </c>
    </row>
    <row r="768" spans="1:4" x14ac:dyDescent="0.25">
      <c r="A768" s="5">
        <f t="shared" si="77"/>
        <v>2008</v>
      </c>
      <c r="B768" s="5">
        <f t="shared" si="78"/>
        <v>35</v>
      </c>
      <c r="C768" s="2">
        <v>39689</v>
      </c>
      <c r="D768" s="1">
        <v>2847</v>
      </c>
    </row>
    <row r="769" spans="1:4" x14ac:dyDescent="0.25">
      <c r="A769" s="5">
        <f t="shared" si="77"/>
        <v>2008</v>
      </c>
      <c r="B769" s="5">
        <f t="shared" si="78"/>
        <v>36</v>
      </c>
      <c r="C769" s="2">
        <v>39696</v>
      </c>
      <c r="D769" s="1">
        <v>2905</v>
      </c>
    </row>
    <row r="770" spans="1:4" x14ac:dyDescent="0.25">
      <c r="A770" s="5">
        <f t="shared" si="77"/>
        <v>2008</v>
      </c>
      <c r="B770" s="5">
        <f t="shared" si="78"/>
        <v>37</v>
      </c>
      <c r="C770" s="2">
        <v>39703</v>
      </c>
      <c r="D770" s="1">
        <v>2972</v>
      </c>
    </row>
    <row r="771" spans="1:4" x14ac:dyDescent="0.25">
      <c r="A771" s="5">
        <f t="shared" ref="A771:A827" si="79">YEAR(C771)</f>
        <v>2008</v>
      </c>
      <c r="B771" s="5">
        <f t="shared" ref="B771:B827" si="80">WEEKNUM(C771)</f>
        <v>38</v>
      </c>
      <c r="C771" s="2">
        <v>39710</v>
      </c>
      <c r="D771" s="1">
        <v>3023</v>
      </c>
    </row>
    <row r="772" spans="1:4" x14ac:dyDescent="0.25">
      <c r="A772" s="5">
        <f t="shared" si="79"/>
        <v>2008</v>
      </c>
      <c r="B772" s="5">
        <f t="shared" si="80"/>
        <v>39</v>
      </c>
      <c r="C772" s="2">
        <v>39717</v>
      </c>
      <c r="D772" s="1">
        <v>3110</v>
      </c>
    </row>
    <row r="773" spans="1:4" x14ac:dyDescent="0.25">
      <c r="A773" s="5">
        <f t="shared" si="79"/>
        <v>2008</v>
      </c>
      <c r="B773" s="5">
        <f t="shared" si="80"/>
        <v>40</v>
      </c>
      <c r="C773" s="2">
        <v>39724</v>
      </c>
      <c r="D773" s="1">
        <v>3198</v>
      </c>
    </row>
    <row r="774" spans="1:4" x14ac:dyDescent="0.25">
      <c r="A774" s="5">
        <f t="shared" si="79"/>
        <v>2008</v>
      </c>
      <c r="B774" s="5">
        <f t="shared" si="80"/>
        <v>41</v>
      </c>
      <c r="C774" s="2">
        <v>39731</v>
      </c>
      <c r="D774" s="1">
        <v>3277</v>
      </c>
    </row>
    <row r="775" spans="1:4" x14ac:dyDescent="0.25">
      <c r="A775" s="5">
        <f t="shared" si="79"/>
        <v>2008</v>
      </c>
      <c r="B775" s="5">
        <f t="shared" si="80"/>
        <v>42</v>
      </c>
      <c r="C775" s="2">
        <v>39738</v>
      </c>
      <c r="D775" s="1">
        <v>3347</v>
      </c>
    </row>
    <row r="776" spans="1:4" x14ac:dyDescent="0.25">
      <c r="A776" s="5">
        <f t="shared" si="79"/>
        <v>2008</v>
      </c>
      <c r="B776" s="5">
        <f t="shared" si="80"/>
        <v>43</v>
      </c>
      <c r="C776" s="2">
        <v>39745</v>
      </c>
      <c r="D776" s="1">
        <v>3393</v>
      </c>
    </row>
    <row r="777" spans="1:4" x14ac:dyDescent="0.25">
      <c r="A777" s="5">
        <f t="shared" si="79"/>
        <v>2008</v>
      </c>
      <c r="B777" s="5">
        <f t="shared" si="80"/>
        <v>44</v>
      </c>
      <c r="C777" s="2">
        <v>39752</v>
      </c>
      <c r="D777" s="1">
        <v>3412</v>
      </c>
    </row>
    <row r="778" spans="1:4" x14ac:dyDescent="0.25">
      <c r="A778" s="5">
        <f t="shared" si="79"/>
        <v>2008</v>
      </c>
      <c r="B778" s="5">
        <f t="shared" si="80"/>
        <v>45</v>
      </c>
      <c r="C778" s="2">
        <v>39759</v>
      </c>
      <c r="D778" s="1">
        <v>3472</v>
      </c>
    </row>
    <row r="779" spans="1:4" x14ac:dyDescent="0.25">
      <c r="A779" s="5">
        <f t="shared" si="79"/>
        <v>2008</v>
      </c>
      <c r="B779" s="5">
        <f t="shared" si="80"/>
        <v>46</v>
      </c>
      <c r="C779" s="2">
        <v>39766</v>
      </c>
      <c r="D779" s="1">
        <v>3488</v>
      </c>
    </row>
    <row r="780" spans="1:4" x14ac:dyDescent="0.25">
      <c r="A780" s="5">
        <f t="shared" si="79"/>
        <v>2008</v>
      </c>
      <c r="B780" s="5">
        <f t="shared" si="80"/>
        <v>47</v>
      </c>
      <c r="C780" s="2">
        <v>39773</v>
      </c>
      <c r="D780" s="1">
        <v>3422</v>
      </c>
    </row>
    <row r="781" spans="1:4" x14ac:dyDescent="0.25">
      <c r="A781" s="5">
        <f t="shared" si="79"/>
        <v>2008</v>
      </c>
      <c r="B781" s="5">
        <f t="shared" si="80"/>
        <v>48</v>
      </c>
      <c r="C781" s="2">
        <v>39780</v>
      </c>
      <c r="D781" s="1">
        <v>3358</v>
      </c>
    </row>
    <row r="782" spans="1:4" x14ac:dyDescent="0.25">
      <c r="A782" s="5">
        <f t="shared" si="79"/>
        <v>2008</v>
      </c>
      <c r="B782" s="5">
        <f t="shared" si="80"/>
        <v>49</v>
      </c>
      <c r="C782" s="2">
        <v>39787</v>
      </c>
      <c r="D782" s="1">
        <v>3291</v>
      </c>
    </row>
    <row r="783" spans="1:4" x14ac:dyDescent="0.25">
      <c r="A783" s="5">
        <f t="shared" si="79"/>
        <v>2008</v>
      </c>
      <c r="B783" s="5">
        <f t="shared" si="80"/>
        <v>50</v>
      </c>
      <c r="C783" s="2">
        <v>39794</v>
      </c>
      <c r="D783" s="1">
        <v>3167</v>
      </c>
    </row>
    <row r="784" spans="1:4" x14ac:dyDescent="0.25">
      <c r="A784" s="5">
        <f t="shared" si="79"/>
        <v>2008</v>
      </c>
      <c r="B784" s="5">
        <f t="shared" si="80"/>
        <v>51</v>
      </c>
      <c r="C784" s="2">
        <v>39801</v>
      </c>
      <c r="D784" s="1">
        <v>3020</v>
      </c>
    </row>
    <row r="785" spans="1:4" x14ac:dyDescent="0.25">
      <c r="A785" s="5">
        <f t="shared" si="79"/>
        <v>2008</v>
      </c>
      <c r="B785" s="5">
        <f t="shared" si="80"/>
        <v>52</v>
      </c>
      <c r="C785" s="2">
        <v>39808</v>
      </c>
      <c r="D785" s="1">
        <v>2877</v>
      </c>
    </row>
    <row r="786" spans="1:4" x14ac:dyDescent="0.25">
      <c r="A786" s="5">
        <f t="shared" si="79"/>
        <v>2009</v>
      </c>
      <c r="B786" s="5">
        <f t="shared" si="80"/>
        <v>1</v>
      </c>
      <c r="C786" s="2">
        <v>39815</v>
      </c>
      <c r="D786" s="1">
        <v>2830</v>
      </c>
    </row>
    <row r="787" spans="1:4" x14ac:dyDescent="0.25">
      <c r="A787" s="5">
        <f t="shared" si="79"/>
        <v>2009</v>
      </c>
      <c r="B787" s="5">
        <f t="shared" si="80"/>
        <v>2</v>
      </c>
      <c r="C787" s="2">
        <v>39822</v>
      </c>
      <c r="D787" s="1">
        <v>2736</v>
      </c>
    </row>
    <row r="788" spans="1:4" x14ac:dyDescent="0.25">
      <c r="A788" s="5">
        <f t="shared" si="79"/>
        <v>2009</v>
      </c>
      <c r="B788" s="5">
        <f t="shared" si="80"/>
        <v>3</v>
      </c>
      <c r="C788" s="2">
        <v>39829</v>
      </c>
      <c r="D788" s="1">
        <v>2560</v>
      </c>
    </row>
    <row r="789" spans="1:4" x14ac:dyDescent="0.25">
      <c r="A789" s="5">
        <f t="shared" si="79"/>
        <v>2009</v>
      </c>
      <c r="B789" s="5">
        <f t="shared" si="80"/>
        <v>4</v>
      </c>
      <c r="C789" s="2">
        <v>39836</v>
      </c>
      <c r="D789" s="1">
        <v>2374</v>
      </c>
    </row>
    <row r="790" spans="1:4" x14ac:dyDescent="0.25">
      <c r="A790" s="5">
        <f t="shared" si="79"/>
        <v>2009</v>
      </c>
      <c r="B790" s="5">
        <f t="shared" si="80"/>
        <v>5</v>
      </c>
      <c r="C790" s="2">
        <v>39843</v>
      </c>
      <c r="D790" s="1">
        <v>2179</v>
      </c>
    </row>
    <row r="791" spans="1:4" x14ac:dyDescent="0.25">
      <c r="A791" s="5">
        <f t="shared" si="79"/>
        <v>2009</v>
      </c>
      <c r="B791" s="5">
        <f t="shared" si="80"/>
        <v>6</v>
      </c>
      <c r="C791" s="2">
        <v>39850</v>
      </c>
      <c r="D791" s="1">
        <v>2020</v>
      </c>
    </row>
    <row r="792" spans="1:4" x14ac:dyDescent="0.25">
      <c r="A792" s="5">
        <f t="shared" si="79"/>
        <v>2009</v>
      </c>
      <c r="B792" s="5">
        <f t="shared" si="80"/>
        <v>7</v>
      </c>
      <c r="C792" s="2">
        <v>39857</v>
      </c>
      <c r="D792" s="1">
        <v>1996</v>
      </c>
    </row>
    <row r="793" spans="1:4" x14ac:dyDescent="0.25">
      <c r="A793" s="5">
        <f t="shared" si="79"/>
        <v>2009</v>
      </c>
      <c r="B793" s="5">
        <f t="shared" si="80"/>
        <v>8</v>
      </c>
      <c r="C793" s="2">
        <v>39864</v>
      </c>
      <c r="D793" s="1">
        <v>1895</v>
      </c>
    </row>
    <row r="794" spans="1:4" x14ac:dyDescent="0.25">
      <c r="A794" s="5">
        <f t="shared" si="79"/>
        <v>2009</v>
      </c>
      <c r="B794" s="5">
        <f t="shared" si="80"/>
        <v>9</v>
      </c>
      <c r="C794" s="2">
        <v>39871</v>
      </c>
      <c r="D794" s="1">
        <v>1793</v>
      </c>
    </row>
    <row r="795" spans="1:4" x14ac:dyDescent="0.25">
      <c r="A795" s="5">
        <f t="shared" si="79"/>
        <v>2009</v>
      </c>
      <c r="B795" s="5">
        <f t="shared" si="80"/>
        <v>10</v>
      </c>
      <c r="C795" s="2">
        <v>39878</v>
      </c>
      <c r="D795" s="1">
        <v>1681</v>
      </c>
    </row>
    <row r="796" spans="1:4" x14ac:dyDescent="0.25">
      <c r="A796" s="5">
        <f t="shared" si="79"/>
        <v>2009</v>
      </c>
      <c r="B796" s="5">
        <f t="shared" si="80"/>
        <v>11</v>
      </c>
      <c r="C796" s="2">
        <v>39885</v>
      </c>
      <c r="D796" s="1">
        <v>1651</v>
      </c>
    </row>
    <row r="797" spans="1:4" x14ac:dyDescent="0.25">
      <c r="A797" s="5">
        <f t="shared" si="79"/>
        <v>2009</v>
      </c>
      <c r="B797" s="5">
        <f t="shared" si="80"/>
        <v>12</v>
      </c>
      <c r="C797" s="2">
        <v>39892</v>
      </c>
      <c r="D797" s="1">
        <v>1654</v>
      </c>
    </row>
    <row r="798" spans="1:4" x14ac:dyDescent="0.25">
      <c r="A798" s="5">
        <f t="shared" si="79"/>
        <v>2009</v>
      </c>
      <c r="B798" s="5">
        <f t="shared" si="80"/>
        <v>13</v>
      </c>
      <c r="C798" s="2">
        <v>39899</v>
      </c>
      <c r="D798" s="1">
        <v>1654</v>
      </c>
    </row>
    <row r="799" spans="1:4" x14ac:dyDescent="0.25">
      <c r="A799" s="5">
        <f t="shared" si="79"/>
        <v>2009</v>
      </c>
      <c r="B799" s="5">
        <f t="shared" si="80"/>
        <v>14</v>
      </c>
      <c r="C799" s="2">
        <v>39906</v>
      </c>
      <c r="D799" s="1">
        <v>1674</v>
      </c>
    </row>
    <row r="800" spans="1:4" x14ac:dyDescent="0.25">
      <c r="A800" s="5">
        <f t="shared" si="79"/>
        <v>2009</v>
      </c>
      <c r="B800" s="5">
        <f t="shared" si="80"/>
        <v>15</v>
      </c>
      <c r="C800" s="2">
        <v>39913</v>
      </c>
      <c r="D800" s="1">
        <v>1695</v>
      </c>
    </row>
    <row r="801" spans="1:4" x14ac:dyDescent="0.25">
      <c r="A801" s="5">
        <f t="shared" si="79"/>
        <v>2009</v>
      </c>
      <c r="B801" s="5">
        <f t="shared" si="80"/>
        <v>16</v>
      </c>
      <c r="C801" s="2">
        <v>39920</v>
      </c>
      <c r="D801" s="1">
        <v>1741</v>
      </c>
    </row>
    <row r="802" spans="1:4" x14ac:dyDescent="0.25">
      <c r="A802" s="5">
        <f t="shared" si="79"/>
        <v>2009</v>
      </c>
      <c r="B802" s="5">
        <f t="shared" si="80"/>
        <v>17</v>
      </c>
      <c r="C802" s="2">
        <v>39927</v>
      </c>
      <c r="D802" s="1">
        <v>1823</v>
      </c>
    </row>
    <row r="803" spans="1:4" x14ac:dyDescent="0.25">
      <c r="A803" s="5">
        <f t="shared" si="79"/>
        <v>2009</v>
      </c>
      <c r="B803" s="5">
        <f t="shared" si="80"/>
        <v>18</v>
      </c>
      <c r="C803" s="2">
        <v>39934</v>
      </c>
      <c r="D803" s="1">
        <v>1911</v>
      </c>
    </row>
    <row r="804" spans="1:4" x14ac:dyDescent="0.25">
      <c r="A804" s="5">
        <f t="shared" si="79"/>
        <v>2009</v>
      </c>
      <c r="B804" s="5">
        <f t="shared" si="80"/>
        <v>19</v>
      </c>
      <c r="C804" s="2">
        <v>39941</v>
      </c>
      <c r="D804" s="1">
        <v>2005</v>
      </c>
    </row>
    <row r="805" spans="1:4" x14ac:dyDescent="0.25">
      <c r="A805" s="5">
        <f t="shared" si="79"/>
        <v>2009</v>
      </c>
      <c r="B805" s="5">
        <f t="shared" si="80"/>
        <v>20</v>
      </c>
      <c r="C805" s="2">
        <v>39948</v>
      </c>
      <c r="D805" s="1">
        <v>2107</v>
      </c>
    </row>
    <row r="806" spans="1:4" x14ac:dyDescent="0.25">
      <c r="A806" s="5">
        <f t="shared" si="79"/>
        <v>2009</v>
      </c>
      <c r="B806" s="5">
        <f t="shared" si="80"/>
        <v>21</v>
      </c>
      <c r="C806" s="2">
        <v>39955</v>
      </c>
      <c r="D806" s="1">
        <v>2213</v>
      </c>
    </row>
    <row r="807" spans="1:4" x14ac:dyDescent="0.25">
      <c r="A807" s="5">
        <f t="shared" si="79"/>
        <v>2009</v>
      </c>
      <c r="B807" s="5">
        <f t="shared" si="80"/>
        <v>22</v>
      </c>
      <c r="C807" s="2">
        <v>39962</v>
      </c>
      <c r="D807" s="1">
        <v>2337</v>
      </c>
    </row>
    <row r="808" spans="1:4" x14ac:dyDescent="0.25">
      <c r="A808" s="5">
        <f t="shared" si="79"/>
        <v>2009</v>
      </c>
      <c r="B808" s="5">
        <f t="shared" si="80"/>
        <v>23</v>
      </c>
      <c r="C808" s="2">
        <v>39969</v>
      </c>
      <c r="D808" s="1">
        <v>2443</v>
      </c>
    </row>
    <row r="809" spans="1:4" x14ac:dyDescent="0.25">
      <c r="A809" s="5">
        <f t="shared" si="79"/>
        <v>2009</v>
      </c>
      <c r="B809" s="5">
        <f t="shared" si="80"/>
        <v>24</v>
      </c>
      <c r="C809" s="2">
        <v>39976</v>
      </c>
      <c r="D809" s="1">
        <v>2557</v>
      </c>
    </row>
    <row r="810" spans="1:4" x14ac:dyDescent="0.25">
      <c r="A810" s="5">
        <f t="shared" si="79"/>
        <v>2009</v>
      </c>
      <c r="B810" s="5">
        <f t="shared" si="80"/>
        <v>25</v>
      </c>
      <c r="C810" s="2">
        <v>39983</v>
      </c>
      <c r="D810" s="1">
        <v>2651</v>
      </c>
    </row>
    <row r="811" spans="1:4" x14ac:dyDescent="0.25">
      <c r="A811" s="5">
        <f t="shared" si="79"/>
        <v>2009</v>
      </c>
      <c r="B811" s="5">
        <f t="shared" si="80"/>
        <v>26</v>
      </c>
      <c r="C811" s="2">
        <v>39990</v>
      </c>
      <c r="D811" s="1">
        <v>2721</v>
      </c>
    </row>
    <row r="812" spans="1:4" x14ac:dyDescent="0.25">
      <c r="A812" s="5">
        <f t="shared" si="79"/>
        <v>2009</v>
      </c>
      <c r="B812" s="5">
        <f t="shared" si="80"/>
        <v>27</v>
      </c>
      <c r="C812" s="2">
        <v>39997</v>
      </c>
      <c r="D812" s="1">
        <v>2796</v>
      </c>
    </row>
    <row r="813" spans="1:4" x14ac:dyDescent="0.25">
      <c r="A813" s="5">
        <f t="shared" si="79"/>
        <v>2009</v>
      </c>
      <c r="B813" s="5">
        <f t="shared" si="80"/>
        <v>28</v>
      </c>
      <c r="C813" s="2">
        <v>40004</v>
      </c>
      <c r="D813" s="1">
        <v>2886</v>
      </c>
    </row>
    <row r="814" spans="1:4" x14ac:dyDescent="0.25">
      <c r="A814" s="5">
        <f t="shared" si="79"/>
        <v>2009</v>
      </c>
      <c r="B814" s="5">
        <f t="shared" si="80"/>
        <v>29</v>
      </c>
      <c r="C814" s="2">
        <v>40011</v>
      </c>
      <c r="D814" s="1">
        <v>2952</v>
      </c>
    </row>
    <row r="815" spans="1:4" x14ac:dyDescent="0.25">
      <c r="A815" s="5">
        <f t="shared" si="79"/>
        <v>2009</v>
      </c>
      <c r="B815" s="5">
        <f t="shared" si="80"/>
        <v>30</v>
      </c>
      <c r="C815" s="2">
        <v>40018</v>
      </c>
      <c r="D815" s="1">
        <v>3023</v>
      </c>
    </row>
    <row r="816" spans="1:4" x14ac:dyDescent="0.25">
      <c r="A816" s="5">
        <f t="shared" si="79"/>
        <v>2009</v>
      </c>
      <c r="B816" s="5">
        <f t="shared" si="80"/>
        <v>31</v>
      </c>
      <c r="C816" s="2">
        <v>40025</v>
      </c>
      <c r="D816" s="1">
        <v>3089</v>
      </c>
    </row>
    <row r="817" spans="1:4" x14ac:dyDescent="0.25">
      <c r="A817" s="5">
        <f t="shared" si="79"/>
        <v>2009</v>
      </c>
      <c r="B817" s="5">
        <f t="shared" si="80"/>
        <v>32</v>
      </c>
      <c r="C817" s="2">
        <v>40032</v>
      </c>
      <c r="D817" s="1">
        <v>3152</v>
      </c>
    </row>
    <row r="818" spans="1:4" x14ac:dyDescent="0.25">
      <c r="A818" s="5">
        <f t="shared" si="79"/>
        <v>2009</v>
      </c>
      <c r="B818" s="5">
        <f t="shared" si="80"/>
        <v>33</v>
      </c>
      <c r="C818" s="2">
        <v>40039</v>
      </c>
      <c r="D818" s="1">
        <v>3204</v>
      </c>
    </row>
    <row r="819" spans="1:4" x14ac:dyDescent="0.25">
      <c r="A819" s="5">
        <f t="shared" si="79"/>
        <v>2009</v>
      </c>
      <c r="B819" s="5">
        <f t="shared" si="80"/>
        <v>34</v>
      </c>
      <c r="C819" s="2">
        <v>40046</v>
      </c>
      <c r="D819" s="1">
        <v>3258</v>
      </c>
    </row>
    <row r="820" spans="1:4" x14ac:dyDescent="0.25">
      <c r="A820" s="5">
        <f t="shared" si="79"/>
        <v>2009</v>
      </c>
      <c r="B820" s="5">
        <f t="shared" si="80"/>
        <v>35</v>
      </c>
      <c r="C820" s="2">
        <v>40053</v>
      </c>
      <c r="D820" s="1">
        <v>3323</v>
      </c>
    </row>
    <row r="821" spans="1:4" x14ac:dyDescent="0.25">
      <c r="A821" s="5">
        <f t="shared" si="79"/>
        <v>2009</v>
      </c>
      <c r="B821" s="5">
        <f t="shared" si="80"/>
        <v>36</v>
      </c>
      <c r="C821" s="2">
        <v>40060</v>
      </c>
      <c r="D821" s="1">
        <v>3392</v>
      </c>
    </row>
    <row r="822" spans="1:4" x14ac:dyDescent="0.25">
      <c r="A822" s="5">
        <f t="shared" si="79"/>
        <v>2009</v>
      </c>
      <c r="B822" s="5">
        <f t="shared" si="80"/>
        <v>37</v>
      </c>
      <c r="C822" s="2">
        <v>40067</v>
      </c>
      <c r="D822" s="1">
        <v>3458</v>
      </c>
    </row>
    <row r="823" spans="1:4" x14ac:dyDescent="0.25">
      <c r="A823" s="5">
        <f t="shared" si="79"/>
        <v>2009</v>
      </c>
      <c r="B823" s="5">
        <f t="shared" si="80"/>
        <v>38</v>
      </c>
      <c r="C823" s="2">
        <v>40074</v>
      </c>
      <c r="D823" s="1">
        <v>3525</v>
      </c>
    </row>
    <row r="824" spans="1:4" x14ac:dyDescent="0.25">
      <c r="A824" s="5">
        <f t="shared" si="79"/>
        <v>2009</v>
      </c>
      <c r="B824" s="5">
        <f t="shared" si="80"/>
        <v>39</v>
      </c>
      <c r="C824" s="2">
        <v>40081</v>
      </c>
      <c r="D824" s="1">
        <v>3589</v>
      </c>
    </row>
    <row r="825" spans="1:4" x14ac:dyDescent="0.25">
      <c r="A825" s="5">
        <f t="shared" si="79"/>
        <v>2009</v>
      </c>
      <c r="B825" s="5">
        <f t="shared" si="80"/>
        <v>40</v>
      </c>
      <c r="C825" s="2">
        <v>40088</v>
      </c>
      <c r="D825" s="1">
        <v>3658</v>
      </c>
    </row>
    <row r="826" spans="1:4" x14ac:dyDescent="0.25">
      <c r="A826" s="5">
        <f t="shared" si="79"/>
        <v>2009</v>
      </c>
      <c r="B826" s="5">
        <f t="shared" si="80"/>
        <v>41</v>
      </c>
      <c r="C826" s="2">
        <v>40095</v>
      </c>
      <c r="D826" s="1">
        <v>3716</v>
      </c>
    </row>
    <row r="827" spans="1:4" x14ac:dyDescent="0.25">
      <c r="A827" s="5">
        <f t="shared" si="79"/>
        <v>2009</v>
      </c>
      <c r="B827" s="5">
        <f t="shared" si="80"/>
        <v>42</v>
      </c>
      <c r="C827" s="2">
        <v>40102</v>
      </c>
      <c r="D827" s="1">
        <v>3734</v>
      </c>
    </row>
    <row r="828" spans="1:4" x14ac:dyDescent="0.25">
      <c r="A828" s="5">
        <f>YEAR(C828)</f>
        <v>2009</v>
      </c>
      <c r="B828">
        <f>WEEKNUM(C828)</f>
        <v>43</v>
      </c>
      <c r="C828" s="2">
        <v>40109</v>
      </c>
      <c r="D828" s="1">
        <v>3759</v>
      </c>
    </row>
    <row r="829" spans="1:4" x14ac:dyDescent="0.25">
      <c r="A829" s="5">
        <f t="shared" ref="A829:A892" si="81">YEAR(C829)</f>
        <v>2009</v>
      </c>
      <c r="B829" s="5">
        <f t="shared" ref="B829:B892" si="82">WEEKNUM(C829)</f>
        <v>44</v>
      </c>
      <c r="C829" s="2">
        <v>40116</v>
      </c>
      <c r="D829" s="1">
        <v>3788</v>
      </c>
    </row>
    <row r="830" spans="1:4" x14ac:dyDescent="0.25">
      <c r="A830" s="5">
        <f t="shared" si="81"/>
        <v>2009</v>
      </c>
      <c r="B830" s="5">
        <f t="shared" si="82"/>
        <v>45</v>
      </c>
      <c r="C830" s="2">
        <v>40123</v>
      </c>
      <c r="D830" s="1">
        <v>3813</v>
      </c>
    </row>
    <row r="831" spans="1:4" x14ac:dyDescent="0.25">
      <c r="A831" s="5">
        <f t="shared" si="81"/>
        <v>2009</v>
      </c>
      <c r="B831" s="5">
        <f t="shared" si="82"/>
        <v>46</v>
      </c>
      <c r="C831" s="2">
        <v>40130</v>
      </c>
      <c r="D831" s="1">
        <v>3833</v>
      </c>
    </row>
    <row r="832" spans="1:4" x14ac:dyDescent="0.25">
      <c r="A832" s="5">
        <f t="shared" si="81"/>
        <v>2009</v>
      </c>
      <c r="B832" s="5">
        <f t="shared" si="82"/>
        <v>47</v>
      </c>
      <c r="C832" s="2">
        <v>40137</v>
      </c>
      <c r="D832" s="1">
        <v>3835</v>
      </c>
    </row>
    <row r="833" spans="1:4" x14ac:dyDescent="0.25">
      <c r="A833" s="5">
        <f t="shared" si="81"/>
        <v>2009</v>
      </c>
      <c r="B833" s="5">
        <f t="shared" si="82"/>
        <v>48</v>
      </c>
      <c r="C833" s="2">
        <v>40144</v>
      </c>
      <c r="D833" s="1">
        <v>3837</v>
      </c>
    </row>
    <row r="834" spans="1:4" x14ac:dyDescent="0.25">
      <c r="A834" s="5">
        <f t="shared" si="81"/>
        <v>2009</v>
      </c>
      <c r="B834" s="5">
        <f t="shared" si="82"/>
        <v>49</v>
      </c>
      <c r="C834" s="2">
        <v>40151</v>
      </c>
      <c r="D834" s="1">
        <v>3773</v>
      </c>
    </row>
    <row r="835" spans="1:4" x14ac:dyDescent="0.25">
      <c r="A835" s="5">
        <f t="shared" si="81"/>
        <v>2009</v>
      </c>
      <c r="B835" s="5">
        <f t="shared" si="82"/>
        <v>50</v>
      </c>
      <c r="C835" s="2">
        <v>40158</v>
      </c>
      <c r="D835" s="1">
        <v>3566</v>
      </c>
    </row>
    <row r="836" spans="1:4" x14ac:dyDescent="0.25">
      <c r="A836" s="5">
        <f t="shared" si="81"/>
        <v>2009</v>
      </c>
      <c r="B836" s="5">
        <f t="shared" si="82"/>
        <v>51</v>
      </c>
      <c r="C836" s="2">
        <v>40165</v>
      </c>
      <c r="D836" s="1">
        <v>3400</v>
      </c>
    </row>
    <row r="837" spans="1:4" x14ac:dyDescent="0.25">
      <c r="A837" s="5">
        <f t="shared" si="81"/>
        <v>2009</v>
      </c>
      <c r="B837" s="5">
        <f t="shared" si="82"/>
        <v>52</v>
      </c>
      <c r="C837" s="2">
        <v>40172</v>
      </c>
      <c r="D837" s="1">
        <v>3276</v>
      </c>
    </row>
    <row r="838" spans="1:4" x14ac:dyDescent="0.25">
      <c r="A838" s="5">
        <f t="shared" si="81"/>
        <v>2010</v>
      </c>
      <c r="B838" s="5">
        <f t="shared" si="82"/>
        <v>1</v>
      </c>
      <c r="C838" s="6">
        <v>40179</v>
      </c>
      <c r="D838" s="7">
        <v>3117</v>
      </c>
    </row>
    <row r="839" spans="1:4" x14ac:dyDescent="0.25">
      <c r="A839" s="5">
        <f t="shared" si="81"/>
        <v>2010</v>
      </c>
      <c r="B839" s="5">
        <f t="shared" si="82"/>
        <v>2</v>
      </c>
      <c r="C839" s="6">
        <v>40186</v>
      </c>
      <c r="D839" s="7">
        <v>2850</v>
      </c>
    </row>
    <row r="840" spans="1:4" x14ac:dyDescent="0.25">
      <c r="A840" s="5">
        <f t="shared" si="81"/>
        <v>2010</v>
      </c>
      <c r="B840" s="5">
        <f t="shared" si="82"/>
        <v>3</v>
      </c>
      <c r="C840" s="6">
        <v>40193</v>
      </c>
      <c r="D840" s="7">
        <v>2607</v>
      </c>
    </row>
    <row r="841" spans="1:4" x14ac:dyDescent="0.25">
      <c r="A841" s="5">
        <f t="shared" si="81"/>
        <v>2010</v>
      </c>
      <c r="B841" s="5">
        <f t="shared" si="82"/>
        <v>4</v>
      </c>
      <c r="C841" s="6">
        <v>40200</v>
      </c>
      <c r="D841" s="7">
        <v>2521</v>
      </c>
    </row>
    <row r="842" spans="1:4" x14ac:dyDescent="0.25">
      <c r="A842" s="5">
        <f t="shared" si="81"/>
        <v>2010</v>
      </c>
      <c r="B842" s="5">
        <f t="shared" si="82"/>
        <v>5</v>
      </c>
      <c r="C842" s="6">
        <v>40207</v>
      </c>
      <c r="D842" s="7">
        <v>2406</v>
      </c>
    </row>
    <row r="843" spans="1:4" x14ac:dyDescent="0.25">
      <c r="A843" s="5">
        <f t="shared" si="81"/>
        <v>2010</v>
      </c>
      <c r="B843" s="5">
        <f t="shared" si="82"/>
        <v>6</v>
      </c>
      <c r="C843" s="6">
        <v>40214</v>
      </c>
      <c r="D843" s="7">
        <v>2214</v>
      </c>
    </row>
    <row r="844" spans="1:4" x14ac:dyDescent="0.25">
      <c r="A844" s="5">
        <f t="shared" si="81"/>
        <v>2010</v>
      </c>
      <c r="B844" s="5">
        <f t="shared" si="82"/>
        <v>7</v>
      </c>
      <c r="C844" s="6">
        <v>40221</v>
      </c>
      <c r="D844" s="7">
        <v>2026</v>
      </c>
    </row>
    <row r="845" spans="1:4" x14ac:dyDescent="0.25">
      <c r="A845" s="5">
        <f t="shared" si="81"/>
        <v>2010</v>
      </c>
      <c r="B845" s="5">
        <f t="shared" si="82"/>
        <v>8</v>
      </c>
      <c r="C845" s="6">
        <v>40228</v>
      </c>
      <c r="D845" s="7">
        <v>1853</v>
      </c>
    </row>
    <row r="846" spans="1:4" x14ac:dyDescent="0.25">
      <c r="A846" s="5">
        <f t="shared" si="81"/>
        <v>2010</v>
      </c>
      <c r="B846" s="5">
        <f t="shared" si="82"/>
        <v>9</v>
      </c>
      <c r="C846" s="6">
        <v>40235</v>
      </c>
      <c r="D846" s="7">
        <v>1738</v>
      </c>
    </row>
    <row r="847" spans="1:4" x14ac:dyDescent="0.25">
      <c r="A847" s="5">
        <f t="shared" si="81"/>
        <v>2010</v>
      </c>
      <c r="B847" s="5">
        <f t="shared" si="82"/>
        <v>10</v>
      </c>
      <c r="C847" s="6">
        <v>40242</v>
      </c>
      <c r="D847" s="7">
        <v>1627</v>
      </c>
    </row>
    <row r="848" spans="1:4" x14ac:dyDescent="0.25">
      <c r="A848" s="5">
        <f t="shared" si="81"/>
        <v>2010</v>
      </c>
      <c r="B848" s="5">
        <f t="shared" si="82"/>
        <v>11</v>
      </c>
      <c r="C848" s="6">
        <v>40249</v>
      </c>
      <c r="D848" s="7">
        <v>1614</v>
      </c>
    </row>
    <row r="849" spans="1:4" x14ac:dyDescent="0.25">
      <c r="A849" s="5">
        <f t="shared" si="81"/>
        <v>2010</v>
      </c>
      <c r="B849" s="5">
        <f t="shared" si="82"/>
        <v>12</v>
      </c>
      <c r="C849" s="6">
        <v>40256</v>
      </c>
      <c r="D849" s="7">
        <v>1626</v>
      </c>
    </row>
    <row r="850" spans="1:4" x14ac:dyDescent="0.25">
      <c r="A850" s="5">
        <f t="shared" si="81"/>
        <v>2010</v>
      </c>
      <c r="B850" s="5">
        <f t="shared" si="82"/>
        <v>13</v>
      </c>
      <c r="C850" s="6">
        <v>40263</v>
      </c>
      <c r="D850" s="7">
        <v>1638</v>
      </c>
    </row>
    <row r="851" spans="1:4" x14ac:dyDescent="0.25">
      <c r="A851" s="5">
        <f t="shared" si="81"/>
        <v>2010</v>
      </c>
      <c r="B851" s="5">
        <f t="shared" si="82"/>
        <v>14</v>
      </c>
      <c r="C851" s="6">
        <v>40270</v>
      </c>
      <c r="D851" s="7">
        <v>1670</v>
      </c>
    </row>
    <row r="852" spans="1:4" x14ac:dyDescent="0.25">
      <c r="A852" s="5">
        <f t="shared" si="81"/>
        <v>2010</v>
      </c>
      <c r="B852" s="5">
        <f t="shared" si="82"/>
        <v>15</v>
      </c>
      <c r="C852" s="6">
        <v>40277</v>
      </c>
      <c r="D852" s="7">
        <v>1754</v>
      </c>
    </row>
    <row r="853" spans="1:4" x14ac:dyDescent="0.25">
      <c r="A853" s="5">
        <f t="shared" si="81"/>
        <v>2010</v>
      </c>
      <c r="B853" s="5">
        <f t="shared" si="82"/>
        <v>16</v>
      </c>
      <c r="C853" s="6">
        <v>40284</v>
      </c>
      <c r="D853" s="7">
        <v>1828</v>
      </c>
    </row>
    <row r="854" spans="1:4" x14ac:dyDescent="0.25">
      <c r="A854" s="5">
        <f t="shared" si="81"/>
        <v>2010</v>
      </c>
      <c r="B854" s="5">
        <f t="shared" si="82"/>
        <v>17</v>
      </c>
      <c r="C854" s="6">
        <v>40291</v>
      </c>
      <c r="D854" s="7">
        <v>1912</v>
      </c>
    </row>
    <row r="855" spans="1:4" x14ac:dyDescent="0.25">
      <c r="A855" s="5">
        <f t="shared" si="81"/>
        <v>2010</v>
      </c>
      <c r="B855" s="5">
        <f t="shared" si="82"/>
        <v>18</v>
      </c>
      <c r="C855" s="6">
        <v>40298</v>
      </c>
      <c r="D855" s="7">
        <v>1994</v>
      </c>
    </row>
    <row r="856" spans="1:4" x14ac:dyDescent="0.25">
      <c r="A856" s="5">
        <f t="shared" si="81"/>
        <v>2010</v>
      </c>
      <c r="B856" s="5">
        <f t="shared" si="82"/>
        <v>19</v>
      </c>
      <c r="C856" s="6">
        <v>40305</v>
      </c>
      <c r="D856" s="7">
        <v>2091</v>
      </c>
    </row>
    <row r="857" spans="1:4" x14ac:dyDescent="0.25">
      <c r="A857" s="5">
        <f t="shared" si="81"/>
        <v>2010</v>
      </c>
      <c r="B857" s="5">
        <f t="shared" si="82"/>
        <v>20</v>
      </c>
      <c r="C857" s="6">
        <v>40312</v>
      </c>
      <c r="D857" s="7">
        <v>2165</v>
      </c>
    </row>
    <row r="858" spans="1:4" x14ac:dyDescent="0.25">
      <c r="A858" s="5">
        <f t="shared" si="81"/>
        <v>2010</v>
      </c>
      <c r="B858" s="5">
        <f t="shared" si="82"/>
        <v>21</v>
      </c>
      <c r="C858" s="6">
        <v>40319</v>
      </c>
      <c r="D858" s="7">
        <v>2268</v>
      </c>
    </row>
    <row r="859" spans="1:4" x14ac:dyDescent="0.25">
      <c r="A859" s="5">
        <f t="shared" si="81"/>
        <v>2010</v>
      </c>
      <c r="B859" s="5">
        <f t="shared" si="82"/>
        <v>22</v>
      </c>
      <c r="C859" s="6">
        <v>40326</v>
      </c>
      <c r="D859" s="7">
        <v>2357</v>
      </c>
    </row>
    <row r="860" spans="1:4" x14ac:dyDescent="0.25">
      <c r="A860" s="5">
        <f t="shared" si="81"/>
        <v>2010</v>
      </c>
      <c r="B860" s="5">
        <f t="shared" si="82"/>
        <v>23</v>
      </c>
      <c r="C860" s="6">
        <v>40333</v>
      </c>
      <c r="D860" s="7">
        <v>2456</v>
      </c>
    </row>
    <row r="861" spans="1:4" x14ac:dyDescent="0.25">
      <c r="A861" s="5">
        <f t="shared" si="81"/>
        <v>2010</v>
      </c>
      <c r="B861" s="5">
        <f t="shared" si="82"/>
        <v>24</v>
      </c>
      <c r="C861" s="6">
        <v>40340</v>
      </c>
      <c r="D861" s="7">
        <v>2542</v>
      </c>
    </row>
    <row r="862" spans="1:4" x14ac:dyDescent="0.25">
      <c r="A862" s="5">
        <f t="shared" si="81"/>
        <v>2010</v>
      </c>
      <c r="B862" s="5">
        <f t="shared" si="82"/>
        <v>25</v>
      </c>
      <c r="C862" s="6">
        <v>40347</v>
      </c>
      <c r="D862" s="7">
        <v>2625</v>
      </c>
    </row>
    <row r="863" spans="1:4" x14ac:dyDescent="0.25">
      <c r="A863" s="5">
        <f t="shared" si="81"/>
        <v>2010</v>
      </c>
      <c r="B863" s="5">
        <f t="shared" si="82"/>
        <v>26</v>
      </c>
      <c r="C863" s="6">
        <v>40354</v>
      </c>
      <c r="D863" s="7">
        <v>2684</v>
      </c>
    </row>
    <row r="864" spans="1:4" x14ac:dyDescent="0.25">
      <c r="A864" s="5">
        <f t="shared" si="81"/>
        <v>2010</v>
      </c>
      <c r="B864" s="5">
        <f t="shared" si="82"/>
        <v>27</v>
      </c>
      <c r="C864" s="6">
        <v>40361</v>
      </c>
      <c r="D864" s="7">
        <v>2761</v>
      </c>
    </row>
    <row r="865" spans="1:4" x14ac:dyDescent="0.25">
      <c r="A865" s="5">
        <f t="shared" si="81"/>
        <v>2010</v>
      </c>
      <c r="B865" s="5">
        <f t="shared" si="82"/>
        <v>28</v>
      </c>
      <c r="C865" s="6">
        <v>40368</v>
      </c>
      <c r="D865" s="7">
        <v>2841</v>
      </c>
    </row>
    <row r="866" spans="1:4" x14ac:dyDescent="0.25">
      <c r="A866" s="5">
        <f t="shared" si="81"/>
        <v>2010</v>
      </c>
      <c r="B866" s="5">
        <f t="shared" si="82"/>
        <v>29</v>
      </c>
      <c r="C866" s="6">
        <v>40375</v>
      </c>
      <c r="D866" s="7">
        <v>2893</v>
      </c>
    </row>
    <row r="867" spans="1:4" x14ac:dyDescent="0.25">
      <c r="A867" s="5">
        <f t="shared" si="81"/>
        <v>2010</v>
      </c>
      <c r="B867" s="5">
        <f t="shared" si="82"/>
        <v>30</v>
      </c>
      <c r="C867" s="6">
        <v>40382</v>
      </c>
      <c r="D867" s="7">
        <v>2919</v>
      </c>
    </row>
    <row r="868" spans="1:4" x14ac:dyDescent="0.25">
      <c r="A868" s="5">
        <f t="shared" si="81"/>
        <v>2010</v>
      </c>
      <c r="B868" s="5">
        <f t="shared" si="82"/>
        <v>31</v>
      </c>
      <c r="C868" s="6">
        <v>40389</v>
      </c>
      <c r="D868" s="7">
        <v>2947</v>
      </c>
    </row>
    <row r="869" spans="1:4" x14ac:dyDescent="0.25">
      <c r="A869" s="5">
        <f t="shared" si="81"/>
        <v>2010</v>
      </c>
      <c r="B869" s="5">
        <f t="shared" si="82"/>
        <v>32</v>
      </c>
      <c r="C869" s="6">
        <v>40396</v>
      </c>
      <c r="D869" s="7">
        <v>2984</v>
      </c>
    </row>
    <row r="870" spans="1:4" x14ac:dyDescent="0.25">
      <c r="A870" s="5">
        <f t="shared" si="81"/>
        <v>2010</v>
      </c>
      <c r="B870" s="5">
        <f t="shared" si="82"/>
        <v>33</v>
      </c>
      <c r="C870" s="6">
        <v>40403</v>
      </c>
      <c r="D870" s="7">
        <v>3013</v>
      </c>
    </row>
    <row r="871" spans="1:4" x14ac:dyDescent="0.25">
      <c r="A871" s="5">
        <f t="shared" si="81"/>
        <v>2010</v>
      </c>
      <c r="B871" s="5">
        <f t="shared" si="82"/>
        <v>34</v>
      </c>
      <c r="C871" s="6">
        <v>40410</v>
      </c>
      <c r="D871" s="7">
        <v>3054</v>
      </c>
    </row>
    <row r="872" spans="1:4" x14ac:dyDescent="0.25">
      <c r="A872" s="5">
        <f t="shared" si="81"/>
        <v>2010</v>
      </c>
      <c r="B872" s="5">
        <f t="shared" si="82"/>
        <v>35</v>
      </c>
      <c r="C872" s="6">
        <v>40417</v>
      </c>
      <c r="D872" s="7">
        <v>3105</v>
      </c>
    </row>
    <row r="873" spans="1:4" x14ac:dyDescent="0.25">
      <c r="A873" s="5">
        <f t="shared" si="81"/>
        <v>2010</v>
      </c>
      <c r="B873" s="5">
        <f t="shared" si="82"/>
        <v>36</v>
      </c>
      <c r="C873" s="6">
        <v>40424</v>
      </c>
      <c r="D873" s="7">
        <v>3163</v>
      </c>
    </row>
    <row r="874" spans="1:4" x14ac:dyDescent="0.25">
      <c r="A874" s="5">
        <f t="shared" si="81"/>
        <v>2010</v>
      </c>
      <c r="B874" s="5">
        <f t="shared" si="82"/>
        <v>37</v>
      </c>
      <c r="C874" s="6">
        <v>40431</v>
      </c>
      <c r="D874" s="7">
        <v>3267</v>
      </c>
    </row>
    <row r="875" spans="1:4" x14ac:dyDescent="0.25">
      <c r="A875" s="5">
        <f t="shared" si="81"/>
        <v>2010</v>
      </c>
      <c r="B875" s="5">
        <f t="shared" si="82"/>
        <v>38</v>
      </c>
      <c r="C875" s="6">
        <v>40438</v>
      </c>
      <c r="D875" s="7">
        <v>3341</v>
      </c>
    </row>
    <row r="876" spans="1:4" x14ac:dyDescent="0.25">
      <c r="A876" s="5">
        <f t="shared" si="81"/>
        <v>2010</v>
      </c>
      <c r="B876" s="5">
        <f t="shared" si="82"/>
        <v>39</v>
      </c>
      <c r="C876" s="6">
        <v>40445</v>
      </c>
      <c r="D876" s="7">
        <v>3415</v>
      </c>
    </row>
    <row r="877" spans="1:4" x14ac:dyDescent="0.25">
      <c r="A877" s="5">
        <f t="shared" si="81"/>
        <v>2010</v>
      </c>
      <c r="B877" s="5">
        <f t="shared" si="82"/>
        <v>40</v>
      </c>
      <c r="C877" s="6">
        <v>40452</v>
      </c>
      <c r="D877" s="7">
        <v>3499</v>
      </c>
    </row>
    <row r="878" spans="1:4" x14ac:dyDescent="0.25">
      <c r="A878" s="5">
        <f t="shared" si="81"/>
        <v>2010</v>
      </c>
      <c r="B878" s="5">
        <f t="shared" si="82"/>
        <v>41</v>
      </c>
      <c r="C878" s="6">
        <v>40459</v>
      </c>
      <c r="D878" s="7">
        <v>3590</v>
      </c>
    </row>
    <row r="879" spans="1:4" x14ac:dyDescent="0.25">
      <c r="A879" s="5">
        <f t="shared" si="81"/>
        <v>2010</v>
      </c>
      <c r="B879" s="5">
        <f t="shared" si="82"/>
        <v>42</v>
      </c>
      <c r="C879" s="6">
        <v>40466</v>
      </c>
      <c r="D879" s="7">
        <v>3683</v>
      </c>
    </row>
    <row r="880" spans="1:4" x14ac:dyDescent="0.25">
      <c r="A880" s="5">
        <f t="shared" si="81"/>
        <v>2010</v>
      </c>
      <c r="B880" s="5">
        <f t="shared" si="82"/>
        <v>43</v>
      </c>
      <c r="C880" s="6">
        <v>40473</v>
      </c>
      <c r="D880" s="7">
        <v>3754</v>
      </c>
    </row>
    <row r="881" spans="1:4" x14ac:dyDescent="0.25">
      <c r="A881" s="5">
        <f t="shared" si="81"/>
        <v>2010</v>
      </c>
      <c r="B881" s="5">
        <f t="shared" si="82"/>
        <v>44</v>
      </c>
      <c r="C881" s="6">
        <v>40480</v>
      </c>
      <c r="D881" s="7">
        <v>3821</v>
      </c>
    </row>
    <row r="882" spans="1:4" x14ac:dyDescent="0.25">
      <c r="A882" s="5">
        <f t="shared" si="81"/>
        <v>2010</v>
      </c>
      <c r="B882" s="5">
        <f t="shared" si="82"/>
        <v>45</v>
      </c>
      <c r="C882" s="6">
        <v>40487</v>
      </c>
      <c r="D882" s="7">
        <v>3840</v>
      </c>
    </row>
    <row r="883" spans="1:4" x14ac:dyDescent="0.25">
      <c r="A883" s="5">
        <f t="shared" si="81"/>
        <v>2010</v>
      </c>
      <c r="B883" s="5">
        <f t="shared" si="82"/>
        <v>46</v>
      </c>
      <c r="C883" s="6">
        <v>40494</v>
      </c>
      <c r="D883" s="7">
        <v>3834</v>
      </c>
    </row>
    <row r="884" spans="1:4" x14ac:dyDescent="0.25">
      <c r="A884" s="5">
        <f t="shared" si="81"/>
        <v>2010</v>
      </c>
      <c r="B884" s="5">
        <f t="shared" si="82"/>
        <v>47</v>
      </c>
      <c r="C884" s="6">
        <v>40501</v>
      </c>
      <c r="D884" s="7">
        <v>3828</v>
      </c>
    </row>
    <row r="885" spans="1:4" x14ac:dyDescent="0.25">
      <c r="A885" s="5">
        <f t="shared" si="81"/>
        <v>2010</v>
      </c>
      <c r="B885" s="5">
        <f t="shared" si="82"/>
        <v>48</v>
      </c>
      <c r="C885" s="6">
        <v>40508</v>
      </c>
      <c r="D885" s="7">
        <v>3805</v>
      </c>
    </row>
    <row r="886" spans="1:4" x14ac:dyDescent="0.25">
      <c r="A886" s="5">
        <f t="shared" si="81"/>
        <v>2010</v>
      </c>
      <c r="B886" s="5">
        <f t="shared" si="82"/>
        <v>49</v>
      </c>
      <c r="C886" s="6">
        <v>40515</v>
      </c>
      <c r="D886" s="7">
        <v>3717</v>
      </c>
    </row>
    <row r="887" spans="1:4" x14ac:dyDescent="0.25">
      <c r="A887" s="5">
        <f t="shared" si="81"/>
        <v>2010</v>
      </c>
      <c r="B887" s="5">
        <f t="shared" si="82"/>
        <v>50</v>
      </c>
      <c r="C887" s="6">
        <v>40522</v>
      </c>
      <c r="D887" s="7">
        <v>3553</v>
      </c>
    </row>
    <row r="888" spans="1:4" x14ac:dyDescent="0.25">
      <c r="A888" s="5">
        <f t="shared" si="81"/>
        <v>2010</v>
      </c>
      <c r="B888" s="5">
        <f t="shared" si="82"/>
        <v>51</v>
      </c>
      <c r="C888" s="6">
        <v>40529</v>
      </c>
      <c r="D888" s="7">
        <v>3369</v>
      </c>
    </row>
    <row r="889" spans="1:4" x14ac:dyDescent="0.25">
      <c r="A889" s="5">
        <f t="shared" si="81"/>
        <v>2010</v>
      </c>
      <c r="B889" s="5">
        <f t="shared" si="82"/>
        <v>52</v>
      </c>
      <c r="C889" s="6">
        <v>40536</v>
      </c>
      <c r="D889" s="7">
        <v>3232</v>
      </c>
    </row>
    <row r="890" spans="1:4" x14ac:dyDescent="0.25">
      <c r="A890" s="5">
        <f t="shared" si="81"/>
        <v>2010</v>
      </c>
      <c r="B890" s="5">
        <f t="shared" si="82"/>
        <v>53</v>
      </c>
      <c r="C890" s="6">
        <v>40543</v>
      </c>
      <c r="D890" s="7">
        <v>3097</v>
      </c>
    </row>
    <row r="891" spans="1:4" x14ac:dyDescent="0.25">
      <c r="A891" s="5">
        <f t="shared" si="81"/>
        <v>2011</v>
      </c>
      <c r="B891" s="5">
        <f t="shared" si="82"/>
        <v>2</v>
      </c>
      <c r="C891" s="6">
        <v>40550</v>
      </c>
      <c r="D891" s="7">
        <v>2960</v>
      </c>
    </row>
    <row r="892" spans="1:4" x14ac:dyDescent="0.25">
      <c r="A892" s="5">
        <f t="shared" si="81"/>
        <v>2011</v>
      </c>
      <c r="B892" s="5">
        <f t="shared" si="82"/>
        <v>3</v>
      </c>
      <c r="C892" s="6">
        <v>40557</v>
      </c>
      <c r="D892" s="7">
        <v>2716</v>
      </c>
    </row>
    <row r="893" spans="1:4" x14ac:dyDescent="0.25">
      <c r="A893" s="5">
        <f t="shared" ref="A893:A956" si="83">YEAR(C893)</f>
        <v>2011</v>
      </c>
      <c r="B893" s="5">
        <f t="shared" ref="B893:B956" si="84">WEEKNUM(C893)</f>
        <v>4</v>
      </c>
      <c r="C893" s="6">
        <v>40564</v>
      </c>
      <c r="D893" s="7">
        <v>2543</v>
      </c>
    </row>
    <row r="894" spans="1:4" x14ac:dyDescent="0.25">
      <c r="A894" s="5">
        <f t="shared" si="83"/>
        <v>2011</v>
      </c>
      <c r="B894" s="5">
        <f t="shared" si="84"/>
        <v>5</v>
      </c>
      <c r="C894" s="6">
        <v>40571</v>
      </c>
      <c r="D894" s="7">
        <v>2355</v>
      </c>
    </row>
    <row r="895" spans="1:4" x14ac:dyDescent="0.25">
      <c r="A895" s="5">
        <f t="shared" si="83"/>
        <v>2011</v>
      </c>
      <c r="B895" s="5">
        <f t="shared" si="84"/>
        <v>6</v>
      </c>
      <c r="C895" s="6">
        <v>40578</v>
      </c>
      <c r="D895" s="7">
        <v>2144</v>
      </c>
    </row>
    <row r="896" spans="1:4" x14ac:dyDescent="0.25">
      <c r="A896" s="5">
        <f t="shared" si="83"/>
        <v>2011</v>
      </c>
      <c r="B896" s="5">
        <f t="shared" si="84"/>
        <v>7</v>
      </c>
      <c r="C896" s="6">
        <v>40585</v>
      </c>
      <c r="D896" s="7">
        <v>1910</v>
      </c>
    </row>
    <row r="897" spans="1:4" x14ac:dyDescent="0.25">
      <c r="A897" s="5">
        <f t="shared" si="83"/>
        <v>2011</v>
      </c>
      <c r="B897" s="5">
        <f t="shared" si="84"/>
        <v>8</v>
      </c>
      <c r="C897" s="6">
        <v>40592</v>
      </c>
      <c r="D897" s="7">
        <v>1831</v>
      </c>
    </row>
    <row r="898" spans="1:4" x14ac:dyDescent="0.25">
      <c r="A898" s="5">
        <f t="shared" si="83"/>
        <v>2011</v>
      </c>
      <c r="B898" s="5">
        <f t="shared" si="84"/>
        <v>9</v>
      </c>
      <c r="C898" s="6">
        <v>40599</v>
      </c>
      <c r="D898" s="7">
        <v>1745</v>
      </c>
    </row>
    <row r="899" spans="1:4" x14ac:dyDescent="0.25">
      <c r="A899" s="5">
        <f t="shared" si="83"/>
        <v>2011</v>
      </c>
      <c r="B899" s="5">
        <f t="shared" si="84"/>
        <v>10</v>
      </c>
      <c r="C899" s="6">
        <v>40606</v>
      </c>
      <c r="D899" s="7">
        <v>1672</v>
      </c>
    </row>
    <row r="900" spans="1:4" x14ac:dyDescent="0.25">
      <c r="A900" s="5">
        <f t="shared" si="83"/>
        <v>2011</v>
      </c>
      <c r="B900" s="5">
        <f t="shared" si="84"/>
        <v>11</v>
      </c>
      <c r="C900" s="6">
        <v>40613</v>
      </c>
      <c r="D900" s="7">
        <v>1616</v>
      </c>
    </row>
    <row r="901" spans="1:4" x14ac:dyDescent="0.25">
      <c r="A901" s="5">
        <f t="shared" si="83"/>
        <v>2011</v>
      </c>
      <c r="B901" s="5">
        <f t="shared" si="84"/>
        <v>12</v>
      </c>
      <c r="C901" s="6">
        <v>40620</v>
      </c>
      <c r="D901" s="7">
        <v>1611</v>
      </c>
    </row>
    <row r="902" spans="1:4" x14ac:dyDescent="0.25">
      <c r="A902" s="5">
        <f t="shared" si="83"/>
        <v>2011</v>
      </c>
      <c r="B902" s="5">
        <f t="shared" si="84"/>
        <v>13</v>
      </c>
      <c r="C902" s="6">
        <v>40627</v>
      </c>
      <c r="D902" s="7">
        <v>1622</v>
      </c>
    </row>
    <row r="903" spans="1:4" x14ac:dyDescent="0.25">
      <c r="A903" s="5">
        <f t="shared" si="83"/>
        <v>2011</v>
      </c>
      <c r="B903" s="5">
        <f t="shared" si="84"/>
        <v>14</v>
      </c>
      <c r="C903" s="6">
        <v>40634</v>
      </c>
      <c r="D903" s="7">
        <v>1578</v>
      </c>
    </row>
    <row r="904" spans="1:4" x14ac:dyDescent="0.25">
      <c r="A904" s="5">
        <f t="shared" si="83"/>
        <v>2011</v>
      </c>
      <c r="B904" s="5">
        <f t="shared" si="84"/>
        <v>15</v>
      </c>
      <c r="C904" s="6">
        <v>40641</v>
      </c>
      <c r="D904" s="7">
        <v>1606</v>
      </c>
    </row>
    <row r="905" spans="1:4" x14ac:dyDescent="0.25">
      <c r="A905" s="5">
        <f t="shared" si="83"/>
        <v>2011</v>
      </c>
      <c r="B905" s="5">
        <f t="shared" si="84"/>
        <v>16</v>
      </c>
      <c r="C905" s="6">
        <v>40648</v>
      </c>
      <c r="D905" s="7">
        <v>1654</v>
      </c>
    </row>
    <row r="906" spans="1:4" x14ac:dyDescent="0.25">
      <c r="A906" s="5">
        <f t="shared" si="83"/>
        <v>2011</v>
      </c>
      <c r="B906" s="5">
        <f t="shared" si="84"/>
        <v>17</v>
      </c>
      <c r="C906" s="6">
        <v>40655</v>
      </c>
      <c r="D906" s="7">
        <v>1685</v>
      </c>
    </row>
    <row r="907" spans="1:4" x14ac:dyDescent="0.25">
      <c r="A907" s="5">
        <f t="shared" si="83"/>
        <v>2011</v>
      </c>
      <c r="B907" s="5">
        <f t="shared" si="84"/>
        <v>18</v>
      </c>
      <c r="C907" s="6">
        <v>40662</v>
      </c>
      <c r="D907" s="7">
        <v>1757</v>
      </c>
    </row>
    <row r="908" spans="1:4" x14ac:dyDescent="0.25">
      <c r="A908" s="5">
        <f t="shared" si="83"/>
        <v>2011</v>
      </c>
      <c r="B908" s="5">
        <f t="shared" si="84"/>
        <v>19</v>
      </c>
      <c r="C908" s="6">
        <v>40669</v>
      </c>
      <c r="D908" s="7">
        <v>1827</v>
      </c>
    </row>
    <row r="909" spans="1:4" x14ac:dyDescent="0.25">
      <c r="A909" s="5">
        <f t="shared" si="83"/>
        <v>2011</v>
      </c>
      <c r="B909" s="5">
        <f t="shared" si="84"/>
        <v>20</v>
      </c>
      <c r="C909" s="6">
        <v>40676</v>
      </c>
      <c r="D909" s="7">
        <v>1919</v>
      </c>
    </row>
    <row r="910" spans="1:4" x14ac:dyDescent="0.25">
      <c r="A910" s="5">
        <f t="shared" si="83"/>
        <v>2011</v>
      </c>
      <c r="B910" s="5">
        <f t="shared" si="84"/>
        <v>21</v>
      </c>
      <c r="C910" s="6">
        <v>40683</v>
      </c>
      <c r="D910" s="7">
        <v>2023</v>
      </c>
    </row>
    <row r="911" spans="1:4" x14ac:dyDescent="0.25">
      <c r="A911" s="5">
        <f t="shared" si="83"/>
        <v>2011</v>
      </c>
      <c r="B911" s="5">
        <f t="shared" si="84"/>
        <v>22</v>
      </c>
      <c r="C911" s="6">
        <v>40690</v>
      </c>
      <c r="D911" s="7">
        <v>2107</v>
      </c>
    </row>
    <row r="912" spans="1:4" x14ac:dyDescent="0.25">
      <c r="A912" s="5">
        <f t="shared" si="83"/>
        <v>2011</v>
      </c>
      <c r="B912" s="5">
        <f t="shared" si="84"/>
        <v>23</v>
      </c>
      <c r="C912" s="6">
        <v>40697</v>
      </c>
      <c r="D912" s="7">
        <v>2188</v>
      </c>
    </row>
    <row r="913" spans="1:4" x14ac:dyDescent="0.25">
      <c r="A913" s="5">
        <f t="shared" si="83"/>
        <v>2011</v>
      </c>
      <c r="B913" s="5">
        <f t="shared" si="84"/>
        <v>24</v>
      </c>
      <c r="C913" s="6">
        <v>40704</v>
      </c>
      <c r="D913" s="7">
        <v>2257</v>
      </c>
    </row>
    <row r="914" spans="1:4" x14ac:dyDescent="0.25">
      <c r="A914" s="5">
        <f t="shared" si="83"/>
        <v>2011</v>
      </c>
      <c r="B914" s="5">
        <f t="shared" si="84"/>
        <v>25</v>
      </c>
      <c r="C914" s="6">
        <v>40711</v>
      </c>
      <c r="D914" s="7">
        <v>2354</v>
      </c>
    </row>
    <row r="915" spans="1:4" x14ac:dyDescent="0.25">
      <c r="A915" s="5">
        <f t="shared" si="83"/>
        <v>2011</v>
      </c>
      <c r="B915" s="5">
        <f t="shared" si="84"/>
        <v>26</v>
      </c>
      <c r="C915" s="6">
        <v>40718</v>
      </c>
      <c r="D915" s="7">
        <v>2432</v>
      </c>
    </row>
    <row r="916" spans="1:4" x14ac:dyDescent="0.25">
      <c r="A916" s="5">
        <f t="shared" si="83"/>
        <v>2011</v>
      </c>
      <c r="B916" s="5">
        <f t="shared" si="84"/>
        <v>27</v>
      </c>
      <c r="C916" s="6">
        <v>40725</v>
      </c>
      <c r="D916" s="7">
        <v>2526</v>
      </c>
    </row>
    <row r="917" spans="1:4" x14ac:dyDescent="0.25">
      <c r="A917" s="5">
        <f t="shared" si="83"/>
        <v>2011</v>
      </c>
      <c r="B917" s="5">
        <f t="shared" si="84"/>
        <v>28</v>
      </c>
      <c r="C917" s="6">
        <v>40732</v>
      </c>
      <c r="D917" s="7">
        <v>2611</v>
      </c>
    </row>
    <row r="918" spans="1:4" x14ac:dyDescent="0.25">
      <c r="A918" s="5">
        <f t="shared" si="83"/>
        <v>2011</v>
      </c>
      <c r="B918" s="5">
        <f t="shared" si="84"/>
        <v>29</v>
      </c>
      <c r="C918" s="6">
        <v>40739</v>
      </c>
      <c r="D918" s="7">
        <v>2671</v>
      </c>
    </row>
    <row r="919" spans="1:4" x14ac:dyDescent="0.25">
      <c r="A919" s="5">
        <f t="shared" si="83"/>
        <v>2011</v>
      </c>
      <c r="B919" s="5">
        <f t="shared" si="84"/>
        <v>30</v>
      </c>
      <c r="C919" s="6">
        <v>40746</v>
      </c>
      <c r="D919" s="7">
        <v>2714</v>
      </c>
    </row>
    <row r="920" spans="1:4" x14ac:dyDescent="0.25">
      <c r="A920" s="5">
        <f t="shared" si="83"/>
        <v>2011</v>
      </c>
      <c r="B920" s="5">
        <f t="shared" si="84"/>
        <v>31</v>
      </c>
      <c r="C920" s="6">
        <v>40753</v>
      </c>
      <c r="D920" s="7">
        <v>2759</v>
      </c>
    </row>
    <row r="921" spans="1:4" x14ac:dyDescent="0.25">
      <c r="A921" s="5">
        <f t="shared" si="83"/>
        <v>2011</v>
      </c>
      <c r="B921" s="5">
        <f t="shared" si="84"/>
        <v>32</v>
      </c>
      <c r="C921" s="6">
        <v>40760</v>
      </c>
      <c r="D921" s="7">
        <v>2783</v>
      </c>
    </row>
    <row r="922" spans="1:4" x14ac:dyDescent="0.25">
      <c r="A922" s="5">
        <f t="shared" si="83"/>
        <v>2011</v>
      </c>
      <c r="B922" s="5">
        <f t="shared" si="84"/>
        <v>33</v>
      </c>
      <c r="C922" s="6">
        <v>40767</v>
      </c>
      <c r="D922" s="7">
        <v>2833</v>
      </c>
    </row>
    <row r="923" spans="1:4" x14ac:dyDescent="0.25">
      <c r="A923" s="5">
        <f t="shared" si="83"/>
        <v>2011</v>
      </c>
      <c r="B923" s="5">
        <f t="shared" si="84"/>
        <v>34</v>
      </c>
      <c r="C923" s="6">
        <v>40774</v>
      </c>
      <c r="D923" s="7">
        <v>2906</v>
      </c>
    </row>
    <row r="924" spans="1:4" x14ac:dyDescent="0.25">
      <c r="A924" s="5">
        <f t="shared" si="83"/>
        <v>2011</v>
      </c>
      <c r="B924" s="5">
        <f t="shared" si="84"/>
        <v>35</v>
      </c>
      <c r="C924" s="6">
        <v>40781</v>
      </c>
      <c r="D924" s="7">
        <v>2960</v>
      </c>
    </row>
    <row r="925" spans="1:4" x14ac:dyDescent="0.25">
      <c r="A925" s="5">
        <f t="shared" si="83"/>
        <v>2011</v>
      </c>
      <c r="B925" s="5">
        <f t="shared" si="84"/>
        <v>36</v>
      </c>
      <c r="C925" s="6">
        <v>40788</v>
      </c>
      <c r="D925" s="7">
        <v>3025</v>
      </c>
    </row>
    <row r="926" spans="1:4" x14ac:dyDescent="0.25">
      <c r="A926" s="5">
        <f t="shared" si="83"/>
        <v>2011</v>
      </c>
      <c r="B926" s="5">
        <f t="shared" si="84"/>
        <v>37</v>
      </c>
      <c r="C926" s="6">
        <v>40795</v>
      </c>
      <c r="D926" s="7">
        <v>3110</v>
      </c>
    </row>
    <row r="927" spans="1:4" x14ac:dyDescent="0.25">
      <c r="A927" s="5">
        <f t="shared" si="83"/>
        <v>2011</v>
      </c>
      <c r="B927" s="5">
        <f t="shared" si="84"/>
        <v>38</v>
      </c>
      <c r="C927" s="6">
        <v>40802</v>
      </c>
      <c r="D927" s="7">
        <v>3201</v>
      </c>
    </row>
    <row r="928" spans="1:4" x14ac:dyDescent="0.25">
      <c r="A928" s="5">
        <f t="shared" si="83"/>
        <v>2011</v>
      </c>
      <c r="B928" s="5">
        <f t="shared" si="84"/>
        <v>39</v>
      </c>
      <c r="C928" s="6">
        <v>40809</v>
      </c>
      <c r="D928" s="7">
        <v>3311</v>
      </c>
    </row>
    <row r="929" spans="1:4" x14ac:dyDescent="0.25">
      <c r="A929" s="5">
        <f t="shared" si="83"/>
        <v>2011</v>
      </c>
      <c r="B929" s="5">
        <f t="shared" si="84"/>
        <v>40</v>
      </c>
      <c r="C929" s="6">
        <v>40816</v>
      </c>
      <c r="D929" s="7">
        <v>3408</v>
      </c>
    </row>
    <row r="930" spans="1:4" x14ac:dyDescent="0.25">
      <c r="A930" s="5">
        <f t="shared" si="83"/>
        <v>2011</v>
      </c>
      <c r="B930" s="5">
        <f t="shared" si="84"/>
        <v>41</v>
      </c>
      <c r="C930" s="6">
        <v>40823</v>
      </c>
      <c r="D930" s="7">
        <v>3521</v>
      </c>
    </row>
    <row r="931" spans="1:4" x14ac:dyDescent="0.25">
      <c r="A931" s="5">
        <f t="shared" si="83"/>
        <v>2011</v>
      </c>
      <c r="B931" s="5">
        <f t="shared" si="84"/>
        <v>42</v>
      </c>
      <c r="C931" s="6">
        <v>40830</v>
      </c>
      <c r="D931" s="7">
        <v>3624</v>
      </c>
    </row>
    <row r="932" spans="1:4" x14ac:dyDescent="0.25">
      <c r="A932" s="5">
        <f t="shared" si="83"/>
        <v>2011</v>
      </c>
      <c r="B932" s="5">
        <f t="shared" si="84"/>
        <v>43</v>
      </c>
      <c r="C932" s="6">
        <v>40837</v>
      </c>
      <c r="D932" s="7">
        <v>3717</v>
      </c>
    </row>
    <row r="933" spans="1:4" x14ac:dyDescent="0.25">
      <c r="A933" s="5">
        <f t="shared" si="83"/>
        <v>2011</v>
      </c>
      <c r="B933" s="5">
        <f t="shared" si="84"/>
        <v>44</v>
      </c>
      <c r="C933" s="6">
        <v>40844</v>
      </c>
      <c r="D933" s="7">
        <v>3793</v>
      </c>
    </row>
    <row r="934" spans="1:4" x14ac:dyDescent="0.25">
      <c r="A934" s="5">
        <f t="shared" si="83"/>
        <v>2011</v>
      </c>
      <c r="B934" s="5">
        <f t="shared" si="84"/>
        <v>45</v>
      </c>
      <c r="C934" s="6">
        <v>40851</v>
      </c>
      <c r="D934" s="7">
        <v>3830</v>
      </c>
    </row>
    <row r="935" spans="1:4" x14ac:dyDescent="0.25">
      <c r="A935" s="5">
        <f t="shared" si="83"/>
        <v>2011</v>
      </c>
      <c r="B935" s="5">
        <f t="shared" si="84"/>
        <v>46</v>
      </c>
      <c r="C935" s="6">
        <v>40858</v>
      </c>
      <c r="D935" s="7">
        <v>3844</v>
      </c>
    </row>
    <row r="936" spans="1:4" x14ac:dyDescent="0.25">
      <c r="A936" s="5">
        <f t="shared" si="83"/>
        <v>2011</v>
      </c>
      <c r="B936" s="5">
        <f t="shared" si="84"/>
        <v>47</v>
      </c>
      <c r="C936" s="6">
        <v>40865</v>
      </c>
      <c r="D936" s="7">
        <v>3853</v>
      </c>
    </row>
    <row r="937" spans="1:4" x14ac:dyDescent="0.25">
      <c r="A937" s="5">
        <f t="shared" si="83"/>
        <v>2011</v>
      </c>
      <c r="B937" s="5">
        <f t="shared" si="84"/>
        <v>48</v>
      </c>
      <c r="C937" s="6">
        <v>40872</v>
      </c>
      <c r="D937" s="7">
        <v>3850</v>
      </c>
    </row>
    <row r="938" spans="1:4" x14ac:dyDescent="0.25">
      <c r="A938" s="5">
        <f t="shared" si="83"/>
        <v>2011</v>
      </c>
      <c r="B938" s="5">
        <f t="shared" si="84"/>
        <v>49</v>
      </c>
      <c r="C938" s="6">
        <v>40879</v>
      </c>
      <c r="D938" s="7">
        <v>3830</v>
      </c>
    </row>
    <row r="939" spans="1:4" x14ac:dyDescent="0.25">
      <c r="A939" s="5">
        <f t="shared" si="83"/>
        <v>2011</v>
      </c>
      <c r="B939" s="5">
        <f t="shared" si="84"/>
        <v>50</v>
      </c>
      <c r="C939" s="6">
        <v>40886</v>
      </c>
      <c r="D939" s="7">
        <v>3729</v>
      </c>
    </row>
    <row r="940" spans="1:4" x14ac:dyDescent="0.25">
      <c r="A940" s="5">
        <f t="shared" si="83"/>
        <v>2011</v>
      </c>
      <c r="B940" s="5">
        <f t="shared" si="84"/>
        <v>51</v>
      </c>
      <c r="C940" s="6">
        <v>40893</v>
      </c>
      <c r="D940" s="7">
        <v>3628</v>
      </c>
    </row>
    <row r="941" spans="1:4" x14ac:dyDescent="0.25">
      <c r="A941" s="5">
        <f t="shared" si="83"/>
        <v>2011</v>
      </c>
      <c r="B941" s="5">
        <f t="shared" si="84"/>
        <v>52</v>
      </c>
      <c r="C941" s="6">
        <v>40900</v>
      </c>
      <c r="D941" s="7">
        <v>3548</v>
      </c>
    </row>
    <row r="942" spans="1:4" x14ac:dyDescent="0.25">
      <c r="A942" s="5">
        <f t="shared" si="83"/>
        <v>2011</v>
      </c>
      <c r="B942" s="5">
        <f t="shared" si="84"/>
        <v>53</v>
      </c>
      <c r="C942" s="6">
        <v>40907</v>
      </c>
      <c r="D942" s="7">
        <v>3471</v>
      </c>
    </row>
    <row r="943" spans="1:4" x14ac:dyDescent="0.25">
      <c r="A943" s="5">
        <f t="shared" si="83"/>
        <v>2012</v>
      </c>
      <c r="B943" s="5">
        <f t="shared" si="84"/>
        <v>1</v>
      </c>
      <c r="C943" s="6">
        <v>40914</v>
      </c>
      <c r="D943" s="7">
        <v>3377</v>
      </c>
    </row>
    <row r="944" spans="1:4" x14ac:dyDescent="0.25">
      <c r="A944" s="5">
        <f t="shared" si="83"/>
        <v>2012</v>
      </c>
      <c r="B944" s="5">
        <f t="shared" si="84"/>
        <v>2</v>
      </c>
      <c r="C944" s="6">
        <v>40921</v>
      </c>
      <c r="D944" s="7">
        <v>3290</v>
      </c>
    </row>
    <row r="945" spans="1:4" x14ac:dyDescent="0.25">
      <c r="A945" s="5">
        <f t="shared" si="83"/>
        <v>2012</v>
      </c>
      <c r="B945" s="5">
        <f t="shared" si="84"/>
        <v>3</v>
      </c>
      <c r="C945" s="6">
        <v>40928</v>
      </c>
      <c r="D945" s="7">
        <v>3098</v>
      </c>
    </row>
    <row r="946" spans="1:4" x14ac:dyDescent="0.25">
      <c r="A946" s="5">
        <f t="shared" si="83"/>
        <v>2012</v>
      </c>
      <c r="B946" s="5">
        <f t="shared" si="84"/>
        <v>4</v>
      </c>
      <c r="C946" s="6">
        <v>40935</v>
      </c>
      <c r="D946" s="7">
        <v>2966</v>
      </c>
    </row>
    <row r="947" spans="1:4" x14ac:dyDescent="0.25">
      <c r="A947" s="5">
        <f t="shared" si="83"/>
        <v>2012</v>
      </c>
      <c r="B947" s="5">
        <f t="shared" si="84"/>
        <v>5</v>
      </c>
      <c r="C947" s="6">
        <v>40942</v>
      </c>
      <c r="D947" s="7">
        <v>2888</v>
      </c>
    </row>
    <row r="948" spans="1:4" x14ac:dyDescent="0.25">
      <c r="A948" s="5">
        <f t="shared" si="83"/>
        <v>2012</v>
      </c>
      <c r="B948" s="5">
        <f t="shared" si="84"/>
        <v>6</v>
      </c>
      <c r="C948" s="6">
        <v>40949</v>
      </c>
      <c r="D948" s="7">
        <v>2761</v>
      </c>
    </row>
    <row r="949" spans="1:4" x14ac:dyDescent="0.25">
      <c r="A949" s="5">
        <f t="shared" si="83"/>
        <v>2012</v>
      </c>
      <c r="B949" s="5">
        <f t="shared" si="84"/>
        <v>7</v>
      </c>
      <c r="C949" s="6">
        <v>40956</v>
      </c>
      <c r="D949" s="7">
        <v>2595</v>
      </c>
    </row>
    <row r="950" spans="1:4" x14ac:dyDescent="0.25">
      <c r="A950" s="5">
        <f t="shared" si="83"/>
        <v>2012</v>
      </c>
      <c r="B950" s="5">
        <f t="shared" si="84"/>
        <v>8</v>
      </c>
      <c r="C950" s="6">
        <v>40963</v>
      </c>
      <c r="D950" s="7">
        <v>2513</v>
      </c>
    </row>
    <row r="951" spans="1:4" x14ac:dyDescent="0.25">
      <c r="A951" s="5">
        <f t="shared" si="83"/>
        <v>2012</v>
      </c>
      <c r="B951" s="5">
        <f t="shared" si="84"/>
        <v>9</v>
      </c>
      <c r="C951" s="6">
        <v>40970</v>
      </c>
      <c r="D951" s="7">
        <v>2433</v>
      </c>
    </row>
    <row r="952" spans="1:4" x14ac:dyDescent="0.25">
      <c r="A952" s="5">
        <f t="shared" si="83"/>
        <v>2012</v>
      </c>
      <c r="B952" s="5">
        <f t="shared" si="84"/>
        <v>10</v>
      </c>
      <c r="C952" s="6">
        <v>40977</v>
      </c>
      <c r="D952" s="7">
        <v>2369</v>
      </c>
    </row>
    <row r="953" spans="1:4" x14ac:dyDescent="0.25">
      <c r="A953" s="5">
        <f t="shared" si="83"/>
        <v>2012</v>
      </c>
      <c r="B953" s="5">
        <f t="shared" si="84"/>
        <v>11</v>
      </c>
      <c r="C953" s="6">
        <v>40984</v>
      </c>
      <c r="D953" s="7">
        <v>2380</v>
      </c>
    </row>
    <row r="954" spans="1:4" x14ac:dyDescent="0.25">
      <c r="A954" s="5">
        <f t="shared" si="83"/>
        <v>2012</v>
      </c>
      <c r="B954" s="5">
        <f t="shared" si="84"/>
        <v>12</v>
      </c>
      <c r="C954" s="6">
        <v>40991</v>
      </c>
      <c r="D954" s="7">
        <v>2429</v>
      </c>
    </row>
    <row r="955" spans="1:4" x14ac:dyDescent="0.25">
      <c r="A955" s="5">
        <f t="shared" si="83"/>
        <v>2012</v>
      </c>
      <c r="B955" s="5">
        <f t="shared" si="84"/>
        <v>13</v>
      </c>
      <c r="C955" s="6">
        <v>40998</v>
      </c>
      <c r="D955" s="7">
        <v>2472</v>
      </c>
    </row>
    <row r="956" spans="1:4" x14ac:dyDescent="0.25">
      <c r="A956" s="5">
        <f t="shared" si="83"/>
        <v>2012</v>
      </c>
      <c r="B956" s="5">
        <f t="shared" si="84"/>
        <v>14</v>
      </c>
      <c r="C956" s="6">
        <v>41005</v>
      </c>
      <c r="D956" s="7">
        <v>2478</v>
      </c>
    </row>
    <row r="957" spans="1:4" x14ac:dyDescent="0.25">
      <c r="A957" s="5">
        <f t="shared" ref="A957:A1020" si="85">YEAR(C957)</f>
        <v>2012</v>
      </c>
      <c r="B957" s="5">
        <f t="shared" ref="B957:B1020" si="86">WEEKNUM(C957)</f>
        <v>15</v>
      </c>
      <c r="C957" s="6">
        <v>41012</v>
      </c>
      <c r="D957" s="7">
        <v>2503</v>
      </c>
    </row>
    <row r="958" spans="1:4" x14ac:dyDescent="0.25">
      <c r="A958" s="5">
        <f t="shared" si="85"/>
        <v>2012</v>
      </c>
      <c r="B958" s="5">
        <f t="shared" si="86"/>
        <v>16</v>
      </c>
      <c r="C958" s="6">
        <v>41019</v>
      </c>
      <c r="D958" s="7">
        <v>2546</v>
      </c>
    </row>
    <row r="959" spans="1:4" x14ac:dyDescent="0.25">
      <c r="A959" s="5">
        <f t="shared" si="85"/>
        <v>2012</v>
      </c>
      <c r="B959" s="5">
        <f t="shared" si="86"/>
        <v>17</v>
      </c>
      <c r="C959" s="6">
        <v>41026</v>
      </c>
      <c r="D959" s="7">
        <v>2576</v>
      </c>
    </row>
    <row r="960" spans="1:4" x14ac:dyDescent="0.25">
      <c r="A960" s="5">
        <f t="shared" si="85"/>
        <v>2012</v>
      </c>
      <c r="B960" s="5">
        <f t="shared" si="86"/>
        <v>18</v>
      </c>
      <c r="C960" s="6">
        <v>41033</v>
      </c>
      <c r="D960" s="7">
        <v>2606</v>
      </c>
    </row>
    <row r="961" spans="1:4" x14ac:dyDescent="0.25">
      <c r="A961" s="5">
        <f t="shared" si="85"/>
        <v>2012</v>
      </c>
      <c r="B961" s="5">
        <f t="shared" si="86"/>
        <v>19</v>
      </c>
      <c r="C961" s="6">
        <v>41040</v>
      </c>
      <c r="D961" s="7">
        <v>2667</v>
      </c>
    </row>
    <row r="962" spans="1:4" x14ac:dyDescent="0.25">
      <c r="A962" s="5">
        <f t="shared" si="85"/>
        <v>2012</v>
      </c>
      <c r="B962" s="5">
        <f t="shared" si="86"/>
        <v>20</v>
      </c>
      <c r="C962" s="6">
        <v>41047</v>
      </c>
      <c r="D962" s="7">
        <v>2744</v>
      </c>
    </row>
    <row r="963" spans="1:4" x14ac:dyDescent="0.25">
      <c r="A963" s="5">
        <f t="shared" si="85"/>
        <v>2012</v>
      </c>
      <c r="B963" s="5">
        <f t="shared" si="86"/>
        <v>21</v>
      </c>
      <c r="C963" s="6">
        <v>41054</v>
      </c>
      <c r="D963" s="7">
        <v>2815</v>
      </c>
    </row>
    <row r="964" spans="1:4" x14ac:dyDescent="0.25">
      <c r="A964" s="5">
        <f t="shared" si="85"/>
        <v>2012</v>
      </c>
      <c r="B964" s="5">
        <f t="shared" si="86"/>
        <v>22</v>
      </c>
      <c r="C964" s="6">
        <v>41061</v>
      </c>
      <c r="D964" s="7">
        <v>2877</v>
      </c>
    </row>
    <row r="965" spans="1:4" x14ac:dyDescent="0.25">
      <c r="A965" s="5">
        <f t="shared" si="85"/>
        <v>2012</v>
      </c>
      <c r="B965" s="5">
        <f t="shared" si="86"/>
        <v>23</v>
      </c>
      <c r="C965" s="6">
        <v>41068</v>
      </c>
      <c r="D965" s="7">
        <v>2944</v>
      </c>
    </row>
    <row r="966" spans="1:4" x14ac:dyDescent="0.25">
      <c r="A966" s="5">
        <f t="shared" si="85"/>
        <v>2012</v>
      </c>
      <c r="B966" s="5">
        <f t="shared" si="86"/>
        <v>24</v>
      </c>
      <c r="C966" s="6">
        <v>41075</v>
      </c>
      <c r="D966" s="7">
        <v>3006</v>
      </c>
    </row>
    <row r="967" spans="1:4" x14ac:dyDescent="0.25">
      <c r="A967" s="5">
        <f t="shared" si="85"/>
        <v>2012</v>
      </c>
      <c r="B967" s="5">
        <f t="shared" si="86"/>
        <v>25</v>
      </c>
      <c r="C967" s="6">
        <v>41082</v>
      </c>
      <c r="D967" s="7">
        <v>3063</v>
      </c>
    </row>
    <row r="968" spans="1:4" x14ac:dyDescent="0.25">
      <c r="A968" s="5">
        <f t="shared" si="85"/>
        <v>2012</v>
      </c>
      <c r="B968" s="5">
        <f t="shared" si="86"/>
        <v>26</v>
      </c>
      <c r="C968" s="6">
        <v>41089</v>
      </c>
      <c r="D968" s="7">
        <v>3102</v>
      </c>
    </row>
    <row r="969" spans="1:4" x14ac:dyDescent="0.25">
      <c r="A969" s="5">
        <f t="shared" si="85"/>
        <v>2012</v>
      </c>
      <c r="B969" s="5">
        <f t="shared" si="86"/>
        <v>27</v>
      </c>
      <c r="C969" s="6">
        <v>41096</v>
      </c>
      <c r="D969" s="7">
        <v>3135</v>
      </c>
    </row>
    <row r="970" spans="1:4" x14ac:dyDescent="0.25">
      <c r="A970" s="5">
        <f t="shared" si="85"/>
        <v>2012</v>
      </c>
      <c r="B970" s="5">
        <f t="shared" si="86"/>
        <v>28</v>
      </c>
      <c r="C970" s="6">
        <v>41103</v>
      </c>
      <c r="D970" s="7">
        <v>3163</v>
      </c>
    </row>
    <row r="971" spans="1:4" x14ac:dyDescent="0.25">
      <c r="A971" s="5">
        <f t="shared" si="85"/>
        <v>2012</v>
      </c>
      <c r="B971" s="5">
        <f t="shared" si="86"/>
        <v>29</v>
      </c>
      <c r="C971" s="6">
        <v>41110</v>
      </c>
      <c r="D971" s="7">
        <v>3190</v>
      </c>
    </row>
    <row r="972" spans="1:4" x14ac:dyDescent="0.25">
      <c r="A972" s="5">
        <f t="shared" si="85"/>
        <v>2012</v>
      </c>
      <c r="B972" s="5">
        <f t="shared" si="86"/>
        <v>30</v>
      </c>
      <c r="C972" s="6">
        <v>41117</v>
      </c>
      <c r="D972" s="7">
        <v>3217</v>
      </c>
    </row>
    <row r="973" spans="1:4" x14ac:dyDescent="0.25">
      <c r="A973" s="5">
        <f t="shared" si="85"/>
        <v>2012</v>
      </c>
      <c r="B973" s="5">
        <f t="shared" si="86"/>
        <v>31</v>
      </c>
      <c r="C973" s="6">
        <v>41124</v>
      </c>
      <c r="D973" s="7">
        <v>3240</v>
      </c>
    </row>
    <row r="974" spans="1:4" x14ac:dyDescent="0.25">
      <c r="A974" s="5">
        <f t="shared" si="85"/>
        <v>2012</v>
      </c>
      <c r="B974" s="5">
        <f t="shared" si="86"/>
        <v>32</v>
      </c>
      <c r="C974" s="6">
        <v>41131</v>
      </c>
      <c r="D974" s="7">
        <v>3261</v>
      </c>
    </row>
    <row r="975" spans="1:4" x14ac:dyDescent="0.25">
      <c r="A975" s="5">
        <f t="shared" si="85"/>
        <v>2012</v>
      </c>
      <c r="B975" s="5">
        <f t="shared" si="86"/>
        <v>33</v>
      </c>
      <c r="C975" s="6">
        <v>41138</v>
      </c>
      <c r="D975" s="7">
        <v>3308</v>
      </c>
    </row>
    <row r="976" spans="1:4" x14ac:dyDescent="0.25">
      <c r="A976" s="5">
        <f t="shared" si="85"/>
        <v>2012</v>
      </c>
      <c r="B976" s="5">
        <f t="shared" si="86"/>
        <v>34</v>
      </c>
      <c r="C976" s="6">
        <v>41145</v>
      </c>
      <c r="D976" s="7">
        <v>3374</v>
      </c>
    </row>
    <row r="977" spans="1:4" x14ac:dyDescent="0.25">
      <c r="A977" s="5">
        <f t="shared" si="85"/>
        <v>2012</v>
      </c>
      <c r="B977" s="5">
        <f t="shared" si="86"/>
        <v>35</v>
      </c>
      <c r="C977" s="6">
        <v>41152</v>
      </c>
      <c r="D977" s="7">
        <v>3402</v>
      </c>
    </row>
    <row r="978" spans="1:4" x14ac:dyDescent="0.25">
      <c r="A978" s="5">
        <f t="shared" si="85"/>
        <v>2012</v>
      </c>
      <c r="B978" s="5">
        <f t="shared" si="86"/>
        <v>36</v>
      </c>
      <c r="C978" s="6">
        <v>41159</v>
      </c>
      <c r="D978" s="7">
        <v>3429</v>
      </c>
    </row>
    <row r="979" spans="1:4" x14ac:dyDescent="0.25">
      <c r="A979" s="5">
        <f t="shared" si="85"/>
        <v>2012</v>
      </c>
      <c r="B979" s="5">
        <f t="shared" si="86"/>
        <v>37</v>
      </c>
      <c r="C979" s="6">
        <v>41166</v>
      </c>
      <c r="D979" s="7">
        <v>3496</v>
      </c>
    </row>
    <row r="980" spans="1:4" x14ac:dyDescent="0.25">
      <c r="A980" s="5">
        <f t="shared" si="85"/>
        <v>2012</v>
      </c>
      <c r="B980" s="5">
        <f t="shared" si="86"/>
        <v>38</v>
      </c>
      <c r="C980" s="6">
        <v>41173</v>
      </c>
      <c r="D980" s="7">
        <v>3576</v>
      </c>
    </row>
    <row r="981" spans="1:4" x14ac:dyDescent="0.25">
      <c r="A981" s="5">
        <f t="shared" si="85"/>
        <v>2012</v>
      </c>
      <c r="B981" s="5">
        <f t="shared" si="86"/>
        <v>39</v>
      </c>
      <c r="C981" s="6">
        <v>41180</v>
      </c>
      <c r="D981" s="7">
        <v>3654</v>
      </c>
    </row>
    <row r="982" spans="1:4" x14ac:dyDescent="0.25">
      <c r="A982" s="5">
        <f t="shared" si="85"/>
        <v>2012</v>
      </c>
      <c r="B982" s="5">
        <f t="shared" si="86"/>
        <v>40</v>
      </c>
      <c r="C982" s="6">
        <v>41187</v>
      </c>
      <c r="D982" s="7">
        <v>3726</v>
      </c>
    </row>
    <row r="983" spans="1:4" x14ac:dyDescent="0.25">
      <c r="A983" s="5">
        <f t="shared" si="85"/>
        <v>2012</v>
      </c>
      <c r="B983" s="5">
        <f t="shared" si="86"/>
        <v>41</v>
      </c>
      <c r="C983" s="6">
        <v>41194</v>
      </c>
      <c r="D983" s="7">
        <v>3776</v>
      </c>
    </row>
    <row r="984" spans="1:4" x14ac:dyDescent="0.25">
      <c r="A984" s="5">
        <f t="shared" si="85"/>
        <v>2012</v>
      </c>
      <c r="B984" s="5">
        <f t="shared" si="86"/>
        <v>42</v>
      </c>
      <c r="C984" s="6">
        <v>41201</v>
      </c>
      <c r="D984" s="7">
        <v>3843</v>
      </c>
    </row>
    <row r="985" spans="1:4" x14ac:dyDescent="0.25">
      <c r="A985" s="5">
        <f t="shared" si="85"/>
        <v>2012</v>
      </c>
      <c r="B985" s="5">
        <f t="shared" si="86"/>
        <v>43</v>
      </c>
      <c r="C985" s="6">
        <v>41208</v>
      </c>
      <c r="D985" s="7">
        <v>3907</v>
      </c>
    </row>
    <row r="986" spans="1:4" x14ac:dyDescent="0.25">
      <c r="A986" s="5">
        <f t="shared" si="85"/>
        <v>2012</v>
      </c>
      <c r="B986" s="5">
        <f t="shared" si="86"/>
        <v>44</v>
      </c>
      <c r="C986" s="6">
        <v>41215</v>
      </c>
      <c r="D986" s="7">
        <v>3928</v>
      </c>
    </row>
    <row r="987" spans="1:4" x14ac:dyDescent="0.25">
      <c r="A987" s="5">
        <f t="shared" si="85"/>
        <v>2012</v>
      </c>
      <c r="B987" s="5">
        <f t="shared" si="86"/>
        <v>45</v>
      </c>
      <c r="C987" s="6">
        <v>41222</v>
      </c>
      <c r="D987" s="7">
        <v>3910</v>
      </c>
    </row>
    <row r="988" spans="1:4" x14ac:dyDescent="0.25">
      <c r="A988" s="5">
        <f t="shared" si="85"/>
        <v>2012</v>
      </c>
      <c r="B988" s="5">
        <f t="shared" si="86"/>
        <v>46</v>
      </c>
      <c r="C988" s="6">
        <v>41229</v>
      </c>
      <c r="D988" s="7">
        <v>3873</v>
      </c>
    </row>
    <row r="989" spans="1:4" x14ac:dyDescent="0.25">
      <c r="A989" s="5">
        <f t="shared" si="85"/>
        <v>2012</v>
      </c>
      <c r="B989" s="5">
        <f t="shared" si="86"/>
        <v>47</v>
      </c>
      <c r="C989" s="6">
        <v>41236</v>
      </c>
      <c r="D989" s="7">
        <v>3876</v>
      </c>
    </row>
    <row r="990" spans="1:4" x14ac:dyDescent="0.25">
      <c r="A990" s="5">
        <f t="shared" si="85"/>
        <v>2012</v>
      </c>
      <c r="B990" s="5">
        <f t="shared" si="86"/>
        <v>48</v>
      </c>
      <c r="C990" s="6">
        <v>41243</v>
      </c>
      <c r="D990" s="7">
        <v>3804</v>
      </c>
    </row>
    <row r="991" spans="1:4" x14ac:dyDescent="0.25">
      <c r="A991" s="5">
        <f t="shared" si="85"/>
        <v>2012</v>
      </c>
      <c r="B991" s="5">
        <f t="shared" si="86"/>
        <v>49</v>
      </c>
      <c r="C991" s="6">
        <v>41250</v>
      </c>
      <c r="D991" s="7">
        <v>3806</v>
      </c>
    </row>
    <row r="992" spans="1:4" x14ac:dyDescent="0.25">
      <c r="A992" s="5">
        <f t="shared" si="85"/>
        <v>2012</v>
      </c>
      <c r="B992" s="5">
        <f t="shared" si="86"/>
        <v>50</v>
      </c>
      <c r="C992" s="6">
        <v>41257</v>
      </c>
      <c r="D992" s="7">
        <v>3724</v>
      </c>
    </row>
    <row r="993" spans="1:4" x14ac:dyDescent="0.25">
      <c r="A993" s="5">
        <f t="shared" si="85"/>
        <v>2012</v>
      </c>
      <c r="B993" s="5">
        <f t="shared" si="86"/>
        <v>51</v>
      </c>
      <c r="C993" s="6">
        <v>41264</v>
      </c>
      <c r="D993" s="7">
        <v>3653</v>
      </c>
    </row>
    <row r="994" spans="1:4" x14ac:dyDescent="0.25">
      <c r="A994" s="5">
        <f t="shared" si="85"/>
        <v>2012</v>
      </c>
      <c r="B994" s="5">
        <f t="shared" si="86"/>
        <v>52</v>
      </c>
      <c r="C994" s="6">
        <v>41271</v>
      </c>
      <c r="D994" s="7">
        <v>3517</v>
      </c>
    </row>
    <row r="995" spans="1:4" x14ac:dyDescent="0.25">
      <c r="A995" s="5">
        <f t="shared" si="85"/>
        <v>2013</v>
      </c>
      <c r="B995" s="5">
        <f t="shared" si="86"/>
        <v>1</v>
      </c>
      <c r="C995" s="6">
        <v>41278</v>
      </c>
      <c r="D995" s="7">
        <v>3316</v>
      </c>
    </row>
    <row r="996" spans="1:4" x14ac:dyDescent="0.25">
      <c r="A996" s="5">
        <f t="shared" si="85"/>
        <v>2013</v>
      </c>
      <c r="B996" s="5">
        <f t="shared" si="86"/>
        <v>2</v>
      </c>
      <c r="C996" s="6">
        <v>41285</v>
      </c>
      <c r="D996" s="7">
        <v>3167</v>
      </c>
    </row>
    <row r="997" spans="1:4" x14ac:dyDescent="0.25">
      <c r="A997" s="5">
        <f t="shared" si="85"/>
        <v>2013</v>
      </c>
      <c r="B997" s="5">
        <f t="shared" si="86"/>
        <v>3</v>
      </c>
      <c r="C997" s="6">
        <v>41292</v>
      </c>
      <c r="D997" s="7">
        <v>2996</v>
      </c>
    </row>
    <row r="998" spans="1:4" x14ac:dyDescent="0.25">
      <c r="A998" s="5">
        <f t="shared" si="85"/>
        <v>2013</v>
      </c>
      <c r="B998" s="5">
        <f t="shared" si="86"/>
        <v>4</v>
      </c>
      <c r="C998" s="6">
        <v>41299</v>
      </c>
      <c r="D998" s="7">
        <v>2802</v>
      </c>
    </row>
    <row r="999" spans="1:4" x14ac:dyDescent="0.25">
      <c r="A999" s="5">
        <f t="shared" si="85"/>
        <v>2013</v>
      </c>
      <c r="B999" s="5">
        <f t="shared" si="86"/>
        <v>5</v>
      </c>
      <c r="C999" s="6">
        <v>41306</v>
      </c>
      <c r="D999" s="7">
        <v>2684</v>
      </c>
    </row>
    <row r="1000" spans="1:4" x14ac:dyDescent="0.25">
      <c r="A1000" s="5">
        <f t="shared" si="85"/>
        <v>2013</v>
      </c>
      <c r="B1000" s="5">
        <f t="shared" si="86"/>
        <v>6</v>
      </c>
      <c r="C1000" s="6">
        <v>41313</v>
      </c>
      <c r="D1000" s="7">
        <v>2526</v>
      </c>
    </row>
    <row r="1001" spans="1:4" x14ac:dyDescent="0.25">
      <c r="A1001" s="5">
        <f t="shared" si="85"/>
        <v>2013</v>
      </c>
      <c r="B1001" s="5">
        <f t="shared" si="86"/>
        <v>7</v>
      </c>
      <c r="C1001" s="6">
        <v>41320</v>
      </c>
      <c r="D1001" s="7">
        <v>2400</v>
      </c>
    </row>
    <row r="1002" spans="1:4" x14ac:dyDescent="0.25">
      <c r="A1002" s="5">
        <f t="shared" si="85"/>
        <v>2013</v>
      </c>
      <c r="B1002" s="5">
        <f t="shared" si="86"/>
        <v>8</v>
      </c>
      <c r="C1002" s="6">
        <v>41327</v>
      </c>
      <c r="D1002" s="7">
        <v>2229</v>
      </c>
    </row>
    <row r="1003" spans="1:4" x14ac:dyDescent="0.25">
      <c r="A1003" s="5">
        <f t="shared" si="85"/>
        <v>2013</v>
      </c>
      <c r="B1003" s="5">
        <f t="shared" si="86"/>
        <v>9</v>
      </c>
      <c r="C1003" s="6">
        <v>41334</v>
      </c>
      <c r="D1003" s="7">
        <v>2082</v>
      </c>
    </row>
    <row r="1004" spans="1:4" x14ac:dyDescent="0.25">
      <c r="A1004" s="5">
        <f t="shared" si="85"/>
        <v>2013</v>
      </c>
      <c r="B1004" s="5">
        <f t="shared" si="86"/>
        <v>10</v>
      </c>
      <c r="C1004" s="6">
        <v>41341</v>
      </c>
      <c r="D1004" s="7">
        <v>1938</v>
      </c>
    </row>
    <row r="1005" spans="1:4" x14ac:dyDescent="0.25">
      <c r="A1005" s="5">
        <f t="shared" si="85"/>
        <v>2013</v>
      </c>
      <c r="B1005" s="5">
        <f t="shared" si="86"/>
        <v>11</v>
      </c>
      <c r="C1005" s="6">
        <v>41348</v>
      </c>
      <c r="D1005" s="7">
        <v>1876</v>
      </c>
    </row>
    <row r="1006" spans="1:4" x14ac:dyDescent="0.25">
      <c r="A1006" s="5">
        <f t="shared" si="85"/>
        <v>2013</v>
      </c>
      <c r="B1006" s="5">
        <f t="shared" si="86"/>
        <v>12</v>
      </c>
      <c r="C1006" s="6">
        <v>41355</v>
      </c>
      <c r="D1006" s="7">
        <v>1781</v>
      </c>
    </row>
    <row r="1007" spans="1:4" x14ac:dyDescent="0.25">
      <c r="A1007" s="5">
        <f t="shared" si="85"/>
        <v>2013</v>
      </c>
      <c r="B1007" s="5">
        <f t="shared" si="86"/>
        <v>13</v>
      </c>
      <c r="C1007" s="6">
        <v>41362</v>
      </c>
      <c r="D1007" s="7">
        <v>1687</v>
      </c>
    </row>
    <row r="1008" spans="1:4" x14ac:dyDescent="0.25">
      <c r="A1008" s="5">
        <f t="shared" si="85"/>
        <v>2013</v>
      </c>
      <c r="B1008" s="5">
        <f t="shared" si="86"/>
        <v>14</v>
      </c>
      <c r="C1008" s="6">
        <v>41369</v>
      </c>
      <c r="D1008" s="7">
        <v>1674</v>
      </c>
    </row>
    <row r="1009" spans="1:4" x14ac:dyDescent="0.25">
      <c r="A1009" s="5">
        <f t="shared" si="85"/>
        <v>2013</v>
      </c>
      <c r="B1009" s="5">
        <f t="shared" si="86"/>
        <v>15</v>
      </c>
      <c r="C1009" s="6">
        <v>41376</v>
      </c>
      <c r="D1009" s="7">
        <v>1705</v>
      </c>
    </row>
    <row r="1010" spans="1:4" x14ac:dyDescent="0.25">
      <c r="A1010" s="5">
        <f t="shared" si="85"/>
        <v>2013</v>
      </c>
      <c r="B1010" s="5">
        <f t="shared" si="86"/>
        <v>16</v>
      </c>
      <c r="C1010" s="6">
        <v>41383</v>
      </c>
      <c r="D1010" s="7">
        <v>1734</v>
      </c>
    </row>
    <row r="1011" spans="1:4" x14ac:dyDescent="0.25">
      <c r="A1011" s="5">
        <f t="shared" si="85"/>
        <v>2013</v>
      </c>
      <c r="B1011" s="5">
        <f t="shared" si="86"/>
        <v>17</v>
      </c>
      <c r="C1011" s="6">
        <v>41390</v>
      </c>
      <c r="D1011" s="7">
        <v>1776</v>
      </c>
    </row>
    <row r="1012" spans="1:4" x14ac:dyDescent="0.25">
      <c r="A1012" s="5">
        <f t="shared" si="85"/>
        <v>2013</v>
      </c>
      <c r="B1012" s="5">
        <f t="shared" si="86"/>
        <v>18</v>
      </c>
      <c r="C1012" s="6">
        <v>41397</v>
      </c>
      <c r="D1012" s="7">
        <v>1866</v>
      </c>
    </row>
    <row r="1013" spans="1:4" x14ac:dyDescent="0.25">
      <c r="A1013" s="5">
        <f t="shared" si="85"/>
        <v>2013</v>
      </c>
      <c r="B1013" s="5">
        <f t="shared" si="86"/>
        <v>19</v>
      </c>
      <c r="C1013" s="6">
        <v>41404</v>
      </c>
      <c r="D1013" s="7">
        <v>1964</v>
      </c>
    </row>
    <row r="1014" spans="1:4" x14ac:dyDescent="0.25">
      <c r="A1014" s="5">
        <f t="shared" si="85"/>
        <v>2013</v>
      </c>
      <c r="B1014" s="5">
        <f t="shared" si="86"/>
        <v>20</v>
      </c>
      <c r="C1014" s="6">
        <v>41411</v>
      </c>
      <c r="D1014" s="7">
        <v>2052</v>
      </c>
    </row>
    <row r="1015" spans="1:4" x14ac:dyDescent="0.25">
      <c r="A1015" s="5">
        <f t="shared" si="85"/>
        <v>2013</v>
      </c>
      <c r="B1015" s="5">
        <f t="shared" si="86"/>
        <v>21</v>
      </c>
      <c r="C1015" s="6">
        <v>41418</v>
      </c>
      <c r="D1015" s="7">
        <v>2142</v>
      </c>
    </row>
    <row r="1016" spans="1:4" x14ac:dyDescent="0.25">
      <c r="A1016" s="5">
        <f t="shared" si="85"/>
        <v>2013</v>
      </c>
      <c r="B1016" s="5">
        <f t="shared" si="86"/>
        <v>22</v>
      </c>
      <c r="C1016" s="6">
        <v>41425</v>
      </c>
      <c r="D1016" s="7">
        <v>2252</v>
      </c>
    </row>
    <row r="1017" spans="1:4" x14ac:dyDescent="0.25">
      <c r="A1017" s="5">
        <f t="shared" si="85"/>
        <v>2013</v>
      </c>
      <c r="B1017" s="5">
        <f t="shared" si="86"/>
        <v>23</v>
      </c>
      <c r="C1017" s="6">
        <v>41432</v>
      </c>
      <c r="D1017" s="7">
        <v>2347</v>
      </c>
    </row>
    <row r="1018" spans="1:4" x14ac:dyDescent="0.25">
      <c r="A1018" s="5">
        <f t="shared" si="85"/>
        <v>2013</v>
      </c>
      <c r="B1018" s="5">
        <f t="shared" si="86"/>
        <v>24</v>
      </c>
      <c r="C1018" s="6">
        <v>41439</v>
      </c>
      <c r="D1018" s="7">
        <v>2439</v>
      </c>
    </row>
    <row r="1019" spans="1:4" x14ac:dyDescent="0.25">
      <c r="A1019" s="5">
        <f t="shared" si="85"/>
        <v>2013</v>
      </c>
      <c r="B1019" s="5">
        <f t="shared" si="86"/>
        <v>25</v>
      </c>
      <c r="C1019" s="6">
        <v>41446</v>
      </c>
      <c r="D1019" s="7">
        <v>2533</v>
      </c>
    </row>
    <row r="1020" spans="1:4" x14ac:dyDescent="0.25">
      <c r="A1020" s="5">
        <f t="shared" si="85"/>
        <v>2013</v>
      </c>
      <c r="B1020" s="5">
        <f t="shared" si="86"/>
        <v>26</v>
      </c>
      <c r="C1020" s="6">
        <v>41453</v>
      </c>
      <c r="D1020" s="7">
        <v>2606</v>
      </c>
    </row>
    <row r="1021" spans="1:4" x14ac:dyDescent="0.25">
      <c r="A1021" s="5">
        <f t="shared" ref="A1021:A1084" si="87">YEAR(C1021)</f>
        <v>2013</v>
      </c>
      <c r="B1021" s="5">
        <f t="shared" ref="B1021:B1084" si="88">WEEKNUM(C1021)</f>
        <v>27</v>
      </c>
      <c r="C1021" s="6">
        <v>41460</v>
      </c>
      <c r="D1021" s="7">
        <v>2687</v>
      </c>
    </row>
    <row r="1022" spans="1:4" x14ac:dyDescent="0.25">
      <c r="A1022" s="5">
        <f t="shared" si="87"/>
        <v>2013</v>
      </c>
      <c r="B1022" s="5">
        <f t="shared" si="88"/>
        <v>28</v>
      </c>
      <c r="C1022" s="6">
        <v>41467</v>
      </c>
      <c r="D1022" s="7">
        <v>2745</v>
      </c>
    </row>
    <row r="1023" spans="1:4" x14ac:dyDescent="0.25">
      <c r="A1023" s="5">
        <f t="shared" si="87"/>
        <v>2013</v>
      </c>
      <c r="B1023" s="5">
        <f t="shared" si="88"/>
        <v>29</v>
      </c>
      <c r="C1023" s="6">
        <v>41474</v>
      </c>
      <c r="D1023" s="7">
        <v>2786</v>
      </c>
    </row>
    <row r="1024" spans="1:4" x14ac:dyDescent="0.25">
      <c r="A1024" s="5">
        <f t="shared" si="87"/>
        <v>2013</v>
      </c>
      <c r="B1024" s="5">
        <f t="shared" si="88"/>
        <v>30</v>
      </c>
      <c r="C1024" s="6">
        <v>41481</v>
      </c>
      <c r="D1024" s="7">
        <v>2845</v>
      </c>
    </row>
    <row r="1025" spans="1:4" x14ac:dyDescent="0.25">
      <c r="A1025" s="5">
        <f t="shared" si="87"/>
        <v>2013</v>
      </c>
      <c r="B1025" s="5">
        <f t="shared" si="88"/>
        <v>31</v>
      </c>
      <c r="C1025" s="6">
        <v>41488</v>
      </c>
      <c r="D1025" s="7">
        <v>2940</v>
      </c>
    </row>
    <row r="1026" spans="1:4" x14ac:dyDescent="0.25">
      <c r="A1026" s="5">
        <f t="shared" si="87"/>
        <v>2013</v>
      </c>
      <c r="B1026" s="5">
        <f t="shared" si="88"/>
        <v>32</v>
      </c>
      <c r="C1026" s="6">
        <v>41495</v>
      </c>
      <c r="D1026" s="7">
        <v>3007</v>
      </c>
    </row>
    <row r="1027" spans="1:4" x14ac:dyDescent="0.25">
      <c r="A1027" s="5">
        <f t="shared" si="87"/>
        <v>2013</v>
      </c>
      <c r="B1027" s="5">
        <f t="shared" si="88"/>
        <v>33</v>
      </c>
      <c r="C1027" s="6">
        <v>41502</v>
      </c>
      <c r="D1027" s="7">
        <v>3063</v>
      </c>
    </row>
    <row r="1028" spans="1:4" x14ac:dyDescent="0.25">
      <c r="A1028" s="5">
        <f t="shared" si="87"/>
        <v>2013</v>
      </c>
      <c r="B1028" s="5">
        <f t="shared" si="88"/>
        <v>34</v>
      </c>
      <c r="C1028" s="6">
        <v>41509</v>
      </c>
      <c r="D1028" s="7">
        <v>3131</v>
      </c>
    </row>
    <row r="1029" spans="1:4" x14ac:dyDescent="0.25">
      <c r="A1029" s="5">
        <f t="shared" si="87"/>
        <v>2013</v>
      </c>
      <c r="B1029" s="5">
        <f t="shared" si="88"/>
        <v>35</v>
      </c>
      <c r="C1029" s="6">
        <v>41516</v>
      </c>
      <c r="D1029" s="7">
        <v>3189</v>
      </c>
    </row>
    <row r="1030" spans="1:4" x14ac:dyDescent="0.25">
      <c r="A1030" s="5">
        <f t="shared" si="87"/>
        <v>2013</v>
      </c>
      <c r="B1030" s="5">
        <f t="shared" si="88"/>
        <v>36</v>
      </c>
      <c r="C1030" s="6">
        <v>41523</v>
      </c>
      <c r="D1030" s="7">
        <v>3253</v>
      </c>
    </row>
    <row r="1031" spans="1:4" x14ac:dyDescent="0.25">
      <c r="A1031" s="5">
        <f t="shared" si="87"/>
        <v>2013</v>
      </c>
      <c r="B1031" s="5">
        <f t="shared" si="88"/>
        <v>37</v>
      </c>
      <c r="C1031" s="6">
        <v>41530</v>
      </c>
      <c r="D1031" s="7">
        <v>3299</v>
      </c>
    </row>
    <row r="1032" spans="1:4" x14ac:dyDescent="0.25">
      <c r="A1032" s="5">
        <f t="shared" si="87"/>
        <v>2013</v>
      </c>
      <c r="B1032" s="5">
        <f t="shared" si="88"/>
        <v>38</v>
      </c>
      <c r="C1032" s="6">
        <v>41537</v>
      </c>
      <c r="D1032" s="7">
        <v>3385</v>
      </c>
    </row>
    <row r="1033" spans="1:4" x14ac:dyDescent="0.25">
      <c r="A1033" s="5">
        <f t="shared" si="87"/>
        <v>2013</v>
      </c>
      <c r="B1033" s="5">
        <f t="shared" si="88"/>
        <v>39</v>
      </c>
      <c r="C1033" s="6">
        <v>41544</v>
      </c>
      <c r="D1033" s="7">
        <v>3487</v>
      </c>
    </row>
    <row r="1034" spans="1:4" x14ac:dyDescent="0.25">
      <c r="A1034" s="5">
        <f t="shared" si="87"/>
        <v>2013</v>
      </c>
      <c r="B1034" s="5">
        <f t="shared" si="88"/>
        <v>40</v>
      </c>
      <c r="C1034" s="6">
        <v>41551</v>
      </c>
      <c r="D1034" s="7">
        <v>3577</v>
      </c>
    </row>
    <row r="1035" spans="1:4" x14ac:dyDescent="0.25">
      <c r="A1035" s="5">
        <f t="shared" si="87"/>
        <v>2013</v>
      </c>
      <c r="B1035" s="5">
        <f t="shared" si="88"/>
        <v>41</v>
      </c>
      <c r="C1035" s="6">
        <v>41558</v>
      </c>
      <c r="D1035" s="7">
        <v>3655</v>
      </c>
    </row>
    <row r="1036" spans="1:4" x14ac:dyDescent="0.25">
      <c r="A1036" s="5">
        <f t="shared" si="87"/>
        <v>2013</v>
      </c>
      <c r="B1036" s="5">
        <f t="shared" si="88"/>
        <v>42</v>
      </c>
      <c r="C1036" s="6">
        <v>41565</v>
      </c>
      <c r="D1036" s="7">
        <v>3741</v>
      </c>
    </row>
    <row r="1037" spans="1:4" x14ac:dyDescent="0.25">
      <c r="A1037" s="5">
        <f t="shared" si="87"/>
        <v>2013</v>
      </c>
      <c r="B1037" s="5">
        <f t="shared" si="88"/>
        <v>43</v>
      </c>
      <c r="C1037" s="6">
        <v>41572</v>
      </c>
      <c r="D1037" s="7">
        <v>3779</v>
      </c>
    </row>
    <row r="1038" spans="1:4" x14ac:dyDescent="0.25">
      <c r="A1038" s="5">
        <f t="shared" si="87"/>
        <v>2013</v>
      </c>
      <c r="B1038" s="5">
        <f t="shared" si="88"/>
        <v>44</v>
      </c>
      <c r="C1038" s="6">
        <v>41579</v>
      </c>
      <c r="D1038" s="7">
        <v>3816</v>
      </c>
    </row>
    <row r="1039" spans="1:4" x14ac:dyDescent="0.25">
      <c r="A1039" s="5">
        <f t="shared" si="87"/>
        <v>2013</v>
      </c>
      <c r="B1039" s="5">
        <f t="shared" si="88"/>
        <v>45</v>
      </c>
      <c r="C1039" s="6">
        <v>41586</v>
      </c>
      <c r="D1039" s="7">
        <v>3834</v>
      </c>
    </row>
    <row r="1040" spans="1:4" x14ac:dyDescent="0.25">
      <c r="A1040" s="5">
        <f t="shared" si="87"/>
        <v>2013</v>
      </c>
      <c r="B1040" s="5">
        <f t="shared" si="88"/>
        <v>46</v>
      </c>
      <c r="C1040" s="6">
        <v>41593</v>
      </c>
      <c r="D1040" s="7">
        <v>3789</v>
      </c>
    </row>
    <row r="1041" spans="1:4" x14ac:dyDescent="0.25">
      <c r="A1041" s="5">
        <f t="shared" si="87"/>
        <v>2013</v>
      </c>
      <c r="B1041" s="5">
        <f t="shared" si="88"/>
        <v>47</v>
      </c>
      <c r="C1041" s="6">
        <v>41600</v>
      </c>
      <c r="D1041" s="7">
        <v>3775</v>
      </c>
    </row>
    <row r="1042" spans="1:4" x14ac:dyDescent="0.25">
      <c r="A1042" s="5">
        <f t="shared" si="87"/>
        <v>2013</v>
      </c>
      <c r="B1042" s="5">
        <f t="shared" si="88"/>
        <v>48</v>
      </c>
      <c r="C1042" s="6">
        <v>41607</v>
      </c>
      <c r="D1042" s="7">
        <v>3613</v>
      </c>
    </row>
    <row r="1043" spans="1:4" x14ac:dyDescent="0.25">
      <c r="A1043" s="5">
        <f t="shared" si="87"/>
        <v>2013</v>
      </c>
      <c r="B1043" s="5">
        <f t="shared" si="88"/>
        <v>49</v>
      </c>
      <c r="C1043" s="6">
        <v>41614</v>
      </c>
      <c r="D1043" s="7">
        <v>3533</v>
      </c>
    </row>
    <row r="1044" spans="1:4" x14ac:dyDescent="0.25">
      <c r="A1044" s="5">
        <f t="shared" si="87"/>
        <v>2013</v>
      </c>
      <c r="B1044" s="5">
        <f t="shared" si="88"/>
        <v>50</v>
      </c>
      <c r="C1044" s="6">
        <v>41621</v>
      </c>
      <c r="D1044" s="7">
        <v>3248</v>
      </c>
    </row>
    <row r="1045" spans="1:4" x14ac:dyDescent="0.25">
      <c r="A1045" s="5">
        <f t="shared" si="87"/>
        <v>2013</v>
      </c>
      <c r="B1045" s="5">
        <f t="shared" si="88"/>
        <v>51</v>
      </c>
      <c r="C1045" s="6">
        <v>41628</v>
      </c>
      <c r="D1045" s="7">
        <v>3071</v>
      </c>
    </row>
    <row r="1046" spans="1:4" x14ac:dyDescent="0.25">
      <c r="A1046" s="5">
        <f t="shared" si="87"/>
        <v>2013</v>
      </c>
      <c r="B1046" s="5">
        <f t="shared" si="88"/>
        <v>52</v>
      </c>
      <c r="C1046" s="6">
        <v>41635</v>
      </c>
      <c r="D1046" s="7">
        <v>2975</v>
      </c>
    </row>
    <row r="1047" spans="1:4" x14ac:dyDescent="0.25">
      <c r="A1047" s="5">
        <f t="shared" si="87"/>
        <v>2014</v>
      </c>
      <c r="B1047" s="5">
        <f t="shared" si="88"/>
        <v>1</v>
      </c>
      <c r="C1047" s="6">
        <v>41642</v>
      </c>
      <c r="D1047" s="7">
        <v>2817</v>
      </c>
    </row>
    <row r="1048" spans="1:4" x14ac:dyDescent="0.25">
      <c r="A1048" s="5">
        <f t="shared" si="87"/>
        <v>2014</v>
      </c>
      <c r="B1048" s="5">
        <f t="shared" si="88"/>
        <v>2</v>
      </c>
      <c r="C1048" s="6">
        <v>41649</v>
      </c>
      <c r="D1048" s="7">
        <v>2529</v>
      </c>
    </row>
    <row r="1049" spans="1:4" x14ac:dyDescent="0.25">
      <c r="A1049" s="5">
        <f t="shared" si="87"/>
        <v>2014</v>
      </c>
      <c r="B1049" s="5">
        <f t="shared" si="88"/>
        <v>3</v>
      </c>
      <c r="C1049" s="6">
        <v>41656</v>
      </c>
      <c r="D1049" s="7">
        <v>2424</v>
      </c>
    </row>
    <row r="1050" spans="1:4" x14ac:dyDescent="0.25">
      <c r="A1050" s="5">
        <f t="shared" si="87"/>
        <v>2014</v>
      </c>
      <c r="B1050" s="5">
        <f t="shared" si="88"/>
        <v>4</v>
      </c>
      <c r="C1050" s="6">
        <v>41663</v>
      </c>
      <c r="D1050" s="7">
        <v>2184</v>
      </c>
    </row>
    <row r="1051" spans="1:4" x14ac:dyDescent="0.25">
      <c r="A1051" s="5">
        <f t="shared" si="87"/>
        <v>2014</v>
      </c>
      <c r="B1051" s="5">
        <f t="shared" si="88"/>
        <v>5</v>
      </c>
      <c r="C1051" s="6">
        <v>41670</v>
      </c>
      <c r="D1051" s="7">
        <v>1924</v>
      </c>
    </row>
    <row r="1052" spans="1:4" x14ac:dyDescent="0.25">
      <c r="A1052" s="5">
        <f t="shared" si="87"/>
        <v>2014</v>
      </c>
      <c r="B1052" s="5">
        <f t="shared" si="88"/>
        <v>6</v>
      </c>
      <c r="C1052" s="6">
        <v>41677</v>
      </c>
      <c r="D1052" s="7">
        <v>1693</v>
      </c>
    </row>
    <row r="1053" spans="1:4" x14ac:dyDescent="0.25">
      <c r="A1053" s="5">
        <f t="shared" si="87"/>
        <v>2014</v>
      </c>
      <c r="B1053" s="5">
        <f t="shared" si="88"/>
        <v>7</v>
      </c>
      <c r="C1053" s="6">
        <v>41684</v>
      </c>
      <c r="D1053" s="7">
        <v>1444</v>
      </c>
    </row>
    <row r="1054" spans="1:4" x14ac:dyDescent="0.25">
      <c r="A1054" s="5">
        <f t="shared" si="87"/>
        <v>2014</v>
      </c>
      <c r="B1054" s="5">
        <f t="shared" si="88"/>
        <v>8</v>
      </c>
      <c r="C1054" s="6">
        <v>41691</v>
      </c>
      <c r="D1054" s="7">
        <v>1348</v>
      </c>
    </row>
    <row r="1055" spans="1:4" x14ac:dyDescent="0.25">
      <c r="A1055" s="5">
        <f t="shared" si="87"/>
        <v>2014</v>
      </c>
      <c r="B1055" s="5">
        <f t="shared" si="88"/>
        <v>9</v>
      </c>
      <c r="C1055" s="6">
        <v>41698</v>
      </c>
      <c r="D1055" s="7">
        <v>1196</v>
      </c>
    </row>
    <row r="1056" spans="1:4" x14ac:dyDescent="0.25">
      <c r="A1056" s="5">
        <f t="shared" si="87"/>
        <v>2014</v>
      </c>
      <c r="B1056" s="5">
        <f t="shared" si="88"/>
        <v>10</v>
      </c>
      <c r="C1056" s="6">
        <v>41705</v>
      </c>
      <c r="D1056" s="7">
        <v>1002</v>
      </c>
    </row>
    <row r="1057" spans="1:4" x14ac:dyDescent="0.25">
      <c r="A1057" s="5">
        <f t="shared" si="87"/>
        <v>2014</v>
      </c>
      <c r="B1057" s="5">
        <f t="shared" si="88"/>
        <v>11</v>
      </c>
      <c r="C1057" s="6">
        <v>41712</v>
      </c>
      <c r="D1057" s="7">
        <v>953</v>
      </c>
    </row>
    <row r="1058" spans="1:4" x14ac:dyDescent="0.25">
      <c r="A1058" s="5">
        <f t="shared" si="87"/>
        <v>2014</v>
      </c>
      <c r="B1058" s="5">
        <f t="shared" si="88"/>
        <v>12</v>
      </c>
      <c r="C1058" s="6">
        <v>41719</v>
      </c>
      <c r="D1058" s="7">
        <v>895</v>
      </c>
    </row>
    <row r="1059" spans="1:4" x14ac:dyDescent="0.25">
      <c r="A1059" s="5">
        <f t="shared" si="87"/>
        <v>2014</v>
      </c>
      <c r="B1059" s="5">
        <f t="shared" si="88"/>
        <v>13</v>
      </c>
      <c r="C1059" s="6">
        <v>41726</v>
      </c>
      <c r="D1059" s="7">
        <v>824</v>
      </c>
    </row>
    <row r="1060" spans="1:4" x14ac:dyDescent="0.25">
      <c r="A1060" s="5">
        <f t="shared" si="87"/>
        <v>2014</v>
      </c>
      <c r="B1060" s="5">
        <f t="shared" si="88"/>
        <v>14</v>
      </c>
      <c r="C1060" s="6">
        <v>41733</v>
      </c>
      <c r="D1060" s="7">
        <v>827</v>
      </c>
    </row>
    <row r="1061" spans="1:4" x14ac:dyDescent="0.25">
      <c r="A1061" s="5">
        <f t="shared" si="87"/>
        <v>2014</v>
      </c>
      <c r="B1061" s="5">
        <f t="shared" si="88"/>
        <v>15</v>
      </c>
      <c r="C1061" s="6">
        <v>41740</v>
      </c>
      <c r="D1061" s="7">
        <v>850</v>
      </c>
    </row>
    <row r="1062" spans="1:4" x14ac:dyDescent="0.25">
      <c r="A1062" s="5">
        <f t="shared" si="87"/>
        <v>2014</v>
      </c>
      <c r="B1062" s="5">
        <f t="shared" si="88"/>
        <v>16</v>
      </c>
      <c r="C1062" s="6">
        <v>41747</v>
      </c>
      <c r="D1062" s="7">
        <v>899</v>
      </c>
    </row>
    <row r="1063" spans="1:4" x14ac:dyDescent="0.25">
      <c r="A1063" s="5">
        <f t="shared" si="87"/>
        <v>2014</v>
      </c>
      <c r="B1063" s="5">
        <f t="shared" si="88"/>
        <v>17</v>
      </c>
      <c r="C1063" s="6">
        <v>41754</v>
      </c>
      <c r="D1063" s="7">
        <v>981</v>
      </c>
    </row>
    <row r="1064" spans="1:4" x14ac:dyDescent="0.25">
      <c r="A1064" s="5">
        <f t="shared" si="87"/>
        <v>2014</v>
      </c>
      <c r="B1064" s="5">
        <f t="shared" si="88"/>
        <v>18</v>
      </c>
      <c r="C1064" s="6">
        <v>41761</v>
      </c>
      <c r="D1064" s="7">
        <v>1055</v>
      </c>
    </row>
    <row r="1065" spans="1:4" x14ac:dyDescent="0.25">
      <c r="A1065" s="5">
        <f t="shared" si="87"/>
        <v>2014</v>
      </c>
      <c r="B1065" s="5">
        <f t="shared" si="88"/>
        <v>19</v>
      </c>
      <c r="C1065" s="6">
        <v>41768</v>
      </c>
      <c r="D1065" s="7">
        <v>1160</v>
      </c>
    </row>
    <row r="1066" spans="1:4" x14ac:dyDescent="0.25">
      <c r="A1066" s="5">
        <f t="shared" si="87"/>
        <v>2014</v>
      </c>
      <c r="B1066" s="5">
        <f t="shared" si="88"/>
        <v>20</v>
      </c>
      <c r="C1066" s="6">
        <v>41775</v>
      </c>
      <c r="D1066" s="7">
        <v>1267</v>
      </c>
    </row>
    <row r="1067" spans="1:4" x14ac:dyDescent="0.25">
      <c r="A1067" s="5">
        <f t="shared" si="87"/>
        <v>2014</v>
      </c>
      <c r="B1067" s="5">
        <f t="shared" si="88"/>
        <v>21</v>
      </c>
      <c r="C1067" s="6">
        <v>41782</v>
      </c>
      <c r="D1067" s="7">
        <v>1380</v>
      </c>
    </row>
    <row r="1068" spans="1:4" x14ac:dyDescent="0.25">
      <c r="A1068" s="5">
        <f t="shared" si="87"/>
        <v>2014</v>
      </c>
      <c r="B1068" s="5">
        <f t="shared" si="88"/>
        <v>22</v>
      </c>
      <c r="C1068" s="6">
        <v>41789</v>
      </c>
      <c r="D1068" s="7">
        <v>1499</v>
      </c>
    </row>
    <row r="1069" spans="1:4" x14ac:dyDescent="0.25">
      <c r="A1069" s="5">
        <f t="shared" si="87"/>
        <v>2014</v>
      </c>
      <c r="B1069" s="5">
        <f t="shared" si="88"/>
        <v>23</v>
      </c>
      <c r="C1069" s="6">
        <v>41796</v>
      </c>
      <c r="D1069" s="7">
        <v>1607</v>
      </c>
    </row>
    <row r="1070" spans="1:4" x14ac:dyDescent="0.25">
      <c r="A1070" s="5">
        <f t="shared" si="87"/>
        <v>2014</v>
      </c>
      <c r="B1070" s="5">
        <f t="shared" si="88"/>
        <v>24</v>
      </c>
      <c r="C1070" s="6">
        <v>41803</v>
      </c>
      <c r="D1070" s="7">
        <v>1719</v>
      </c>
    </row>
    <row r="1071" spans="1:4" x14ac:dyDescent="0.25">
      <c r="A1071" s="5">
        <f t="shared" si="87"/>
        <v>2014</v>
      </c>
      <c r="B1071" s="5">
        <f t="shared" si="88"/>
        <v>25</v>
      </c>
      <c r="C1071" s="6">
        <v>41810</v>
      </c>
      <c r="D1071" s="7">
        <v>1829</v>
      </c>
    </row>
    <row r="1072" spans="1:4" x14ac:dyDescent="0.25">
      <c r="A1072" s="5">
        <f t="shared" si="87"/>
        <v>2014</v>
      </c>
      <c r="B1072" s="5">
        <f t="shared" si="88"/>
        <v>26</v>
      </c>
      <c r="C1072" s="6">
        <v>41817</v>
      </c>
      <c r="D1072" s="7">
        <v>1928</v>
      </c>
    </row>
    <row r="1073" spans="1:4" x14ac:dyDescent="0.25">
      <c r="A1073" s="5">
        <f t="shared" si="87"/>
        <v>2014</v>
      </c>
      <c r="B1073" s="5">
        <f t="shared" si="88"/>
        <v>27</v>
      </c>
      <c r="C1073" s="6">
        <v>41824</v>
      </c>
      <c r="D1073" s="7">
        <v>2023</v>
      </c>
    </row>
    <row r="1074" spans="1:4" x14ac:dyDescent="0.25">
      <c r="A1074" s="5">
        <f t="shared" si="87"/>
        <v>2014</v>
      </c>
      <c r="B1074" s="5">
        <f t="shared" si="88"/>
        <v>28</v>
      </c>
      <c r="C1074" s="6">
        <v>41831</v>
      </c>
      <c r="D1074" s="7">
        <v>2128</v>
      </c>
    </row>
    <row r="1075" spans="1:4" x14ac:dyDescent="0.25">
      <c r="A1075" s="5">
        <f t="shared" si="87"/>
        <v>2014</v>
      </c>
      <c r="B1075" s="5">
        <f t="shared" si="88"/>
        <v>29</v>
      </c>
      <c r="C1075" s="6">
        <v>41838</v>
      </c>
      <c r="D1075" s="7">
        <v>2219</v>
      </c>
    </row>
    <row r="1076" spans="1:4" x14ac:dyDescent="0.25">
      <c r="A1076" s="5">
        <f t="shared" si="87"/>
        <v>2014</v>
      </c>
      <c r="B1076" s="5">
        <f t="shared" si="88"/>
        <v>30</v>
      </c>
      <c r="C1076" s="6">
        <v>41845</v>
      </c>
      <c r="D1076" s="7">
        <v>2307</v>
      </c>
    </row>
    <row r="1077" spans="1:4" x14ac:dyDescent="0.25">
      <c r="A1077" s="5">
        <f t="shared" si="87"/>
        <v>2014</v>
      </c>
      <c r="B1077" s="5">
        <f t="shared" si="88"/>
        <v>31</v>
      </c>
      <c r="C1077" s="6">
        <v>41852</v>
      </c>
      <c r="D1077" s="7">
        <v>2388</v>
      </c>
    </row>
    <row r="1078" spans="1:4" x14ac:dyDescent="0.25">
      <c r="A1078" s="5">
        <f t="shared" si="87"/>
        <v>2014</v>
      </c>
      <c r="B1078" s="5">
        <f t="shared" si="88"/>
        <v>32</v>
      </c>
      <c r="C1078" s="6">
        <v>41859</v>
      </c>
      <c r="D1078" s="7">
        <v>2467</v>
      </c>
    </row>
    <row r="1079" spans="1:4" x14ac:dyDescent="0.25">
      <c r="A1079" s="5">
        <f t="shared" si="87"/>
        <v>2014</v>
      </c>
      <c r="B1079" s="5">
        <f t="shared" si="88"/>
        <v>33</v>
      </c>
      <c r="C1079" s="6">
        <v>41866</v>
      </c>
      <c r="D1079" s="7">
        <v>2555</v>
      </c>
    </row>
    <row r="1080" spans="1:4" x14ac:dyDescent="0.25">
      <c r="A1080" s="5">
        <f t="shared" si="87"/>
        <v>2014</v>
      </c>
      <c r="B1080" s="5">
        <f t="shared" si="88"/>
        <v>34</v>
      </c>
      <c r="C1080" s="6">
        <v>41873</v>
      </c>
      <c r="D1080" s="7">
        <v>2631</v>
      </c>
    </row>
    <row r="1081" spans="1:4" x14ac:dyDescent="0.25">
      <c r="A1081" s="5">
        <f t="shared" si="87"/>
        <v>2014</v>
      </c>
      <c r="B1081" s="5">
        <f t="shared" si="88"/>
        <v>35</v>
      </c>
      <c r="C1081" s="6">
        <v>41880</v>
      </c>
      <c r="D1081" s="7">
        <v>2709</v>
      </c>
    </row>
    <row r="1082" spans="1:4" x14ac:dyDescent="0.25">
      <c r="A1082" s="5">
        <f t="shared" si="87"/>
        <v>2014</v>
      </c>
      <c r="B1082" s="5">
        <f t="shared" si="88"/>
        <v>36</v>
      </c>
      <c r="C1082" s="6">
        <v>41887</v>
      </c>
      <c r="D1082" s="7">
        <v>2801</v>
      </c>
    </row>
    <row r="1083" spans="1:4" x14ac:dyDescent="0.25">
      <c r="A1083" s="5">
        <f t="shared" si="87"/>
        <v>2014</v>
      </c>
      <c r="B1083" s="5">
        <f t="shared" si="88"/>
        <v>37</v>
      </c>
      <c r="C1083" s="6">
        <v>41894</v>
      </c>
      <c r="D1083" s="7">
        <v>2890</v>
      </c>
    </row>
    <row r="1084" spans="1:4" x14ac:dyDescent="0.25">
      <c r="A1084" s="5">
        <f t="shared" si="87"/>
        <v>2014</v>
      </c>
      <c r="B1084" s="5">
        <f t="shared" si="88"/>
        <v>38</v>
      </c>
      <c r="C1084" s="6">
        <v>41901</v>
      </c>
      <c r="D1084" s="7">
        <v>2988</v>
      </c>
    </row>
    <row r="1085" spans="1:4" x14ac:dyDescent="0.25">
      <c r="A1085" s="5">
        <f t="shared" ref="A1085:A1148" si="89">YEAR(C1085)</f>
        <v>2014</v>
      </c>
      <c r="B1085" s="5">
        <f t="shared" ref="B1085:B1148" si="90">WEEKNUM(C1085)</f>
        <v>39</v>
      </c>
      <c r="C1085" s="6">
        <v>41908</v>
      </c>
      <c r="D1085" s="7">
        <v>3099</v>
      </c>
    </row>
    <row r="1086" spans="1:4" x14ac:dyDescent="0.25">
      <c r="A1086" s="5">
        <f t="shared" si="89"/>
        <v>2014</v>
      </c>
      <c r="B1086" s="5">
        <f t="shared" si="90"/>
        <v>40</v>
      </c>
      <c r="C1086" s="6">
        <v>41915</v>
      </c>
      <c r="D1086" s="7">
        <v>3205</v>
      </c>
    </row>
    <row r="1087" spans="1:4" x14ac:dyDescent="0.25">
      <c r="A1087" s="5">
        <f t="shared" si="89"/>
        <v>2014</v>
      </c>
      <c r="B1087" s="5">
        <f t="shared" si="90"/>
        <v>41</v>
      </c>
      <c r="C1087" s="6">
        <v>41922</v>
      </c>
      <c r="D1087" s="7">
        <v>3298</v>
      </c>
    </row>
    <row r="1088" spans="1:4" x14ac:dyDescent="0.25">
      <c r="A1088" s="5">
        <f t="shared" si="89"/>
        <v>2014</v>
      </c>
      <c r="B1088" s="5">
        <f t="shared" si="90"/>
        <v>42</v>
      </c>
      <c r="C1088" s="6">
        <v>41929</v>
      </c>
      <c r="D1088" s="7">
        <v>3393</v>
      </c>
    </row>
    <row r="1089" spans="1:4" x14ac:dyDescent="0.25">
      <c r="A1089" s="5">
        <f t="shared" si="89"/>
        <v>2014</v>
      </c>
      <c r="B1089" s="5">
        <f t="shared" si="90"/>
        <v>43</v>
      </c>
      <c r="C1089" s="6">
        <v>41936</v>
      </c>
      <c r="D1089" s="7">
        <v>3480</v>
      </c>
    </row>
    <row r="1090" spans="1:4" x14ac:dyDescent="0.25">
      <c r="A1090" s="5">
        <f t="shared" si="89"/>
        <v>2014</v>
      </c>
      <c r="B1090" s="5">
        <f t="shared" si="90"/>
        <v>44</v>
      </c>
      <c r="C1090" s="6">
        <v>41943</v>
      </c>
      <c r="D1090" s="7">
        <v>3571</v>
      </c>
    </row>
    <row r="1091" spans="1:4" x14ac:dyDescent="0.25">
      <c r="A1091" s="5">
        <f t="shared" si="89"/>
        <v>2014</v>
      </c>
      <c r="B1091" s="5">
        <f t="shared" si="90"/>
        <v>45</v>
      </c>
      <c r="C1091" s="6">
        <v>41950</v>
      </c>
      <c r="D1091" s="7">
        <v>3611</v>
      </c>
    </row>
    <row r="1092" spans="1:4" x14ac:dyDescent="0.25">
      <c r="A1092" s="5">
        <f t="shared" si="89"/>
        <v>2014</v>
      </c>
      <c r="B1092" s="5">
        <f t="shared" si="90"/>
        <v>46</v>
      </c>
      <c r="C1092" s="6">
        <v>41957</v>
      </c>
      <c r="D1092" s="7">
        <v>3594</v>
      </c>
    </row>
    <row r="1093" spans="1:4" x14ac:dyDescent="0.25">
      <c r="A1093" s="5">
        <f t="shared" si="89"/>
        <v>2014</v>
      </c>
      <c r="B1093" s="5">
        <f t="shared" si="90"/>
        <v>47</v>
      </c>
      <c r="C1093" s="6">
        <v>41964</v>
      </c>
      <c r="D1093" s="7">
        <v>3432</v>
      </c>
    </row>
    <row r="1094" spans="1:4" x14ac:dyDescent="0.25">
      <c r="A1094" s="5">
        <f t="shared" si="89"/>
        <v>2014</v>
      </c>
      <c r="B1094" s="5">
        <f t="shared" si="90"/>
        <v>48</v>
      </c>
      <c r="C1094" s="6">
        <v>41971</v>
      </c>
      <c r="D1094" s="7">
        <v>3410</v>
      </c>
    </row>
    <row r="1095" spans="1:4" x14ac:dyDescent="0.25">
      <c r="A1095" s="5">
        <f t="shared" si="89"/>
        <v>2014</v>
      </c>
      <c r="B1095" s="5">
        <f t="shared" si="90"/>
        <v>49</v>
      </c>
      <c r="C1095" s="6">
        <v>41978</v>
      </c>
      <c r="D1095" s="7">
        <v>3359</v>
      </c>
    </row>
    <row r="1096" spans="1:4" x14ac:dyDescent="0.25">
      <c r="A1096" s="5">
        <f t="shared" si="89"/>
        <v>2014</v>
      </c>
      <c r="B1096" s="5">
        <f t="shared" si="90"/>
        <v>50</v>
      </c>
      <c r="C1096" s="6">
        <v>41985</v>
      </c>
      <c r="D1096" s="7">
        <v>3296</v>
      </c>
    </row>
    <row r="1097" spans="1:4" x14ac:dyDescent="0.25">
      <c r="A1097" s="5">
        <f t="shared" si="89"/>
        <v>2014</v>
      </c>
      <c r="B1097" s="5">
        <f t="shared" si="90"/>
        <v>51</v>
      </c>
      <c r="C1097" s="6">
        <v>41992</v>
      </c>
      <c r="D1097" s="7">
        <v>3246</v>
      </c>
    </row>
    <row r="1098" spans="1:4" x14ac:dyDescent="0.25">
      <c r="A1098" s="5">
        <f t="shared" si="89"/>
        <v>2014</v>
      </c>
      <c r="B1098" s="5">
        <f t="shared" si="90"/>
        <v>52</v>
      </c>
      <c r="C1098" s="6">
        <v>41999</v>
      </c>
      <c r="D1098" s="7">
        <v>3220</v>
      </c>
    </row>
    <row r="1099" spans="1:4" x14ac:dyDescent="0.25">
      <c r="A1099" s="5">
        <f t="shared" si="89"/>
        <v>2015</v>
      </c>
      <c r="B1099" s="5">
        <f t="shared" si="90"/>
        <v>1</v>
      </c>
      <c r="C1099" s="6">
        <v>42006</v>
      </c>
      <c r="D1099" s="7">
        <v>3089</v>
      </c>
    </row>
    <row r="1100" spans="1:4" x14ac:dyDescent="0.25">
      <c r="A1100" s="5">
        <f t="shared" si="89"/>
        <v>2015</v>
      </c>
      <c r="B1100" s="5">
        <f t="shared" si="90"/>
        <v>2</v>
      </c>
      <c r="C1100" s="6">
        <v>42013</v>
      </c>
      <c r="D1100" s="7">
        <v>2854</v>
      </c>
    </row>
    <row r="1101" spans="1:4" x14ac:dyDescent="0.25">
      <c r="A1101" s="5">
        <f t="shared" si="89"/>
        <v>2015</v>
      </c>
      <c r="B1101" s="5">
        <f t="shared" si="90"/>
        <v>3</v>
      </c>
      <c r="C1101" s="6">
        <v>42020</v>
      </c>
      <c r="D1101" s="7">
        <v>2637</v>
      </c>
    </row>
    <row r="1102" spans="1:4" x14ac:dyDescent="0.25">
      <c r="A1102" s="5">
        <f t="shared" si="89"/>
        <v>2015</v>
      </c>
      <c r="B1102" s="5">
        <f t="shared" si="90"/>
        <v>4</v>
      </c>
      <c r="C1102" s="6">
        <v>42027</v>
      </c>
      <c r="D1102" s="7">
        <v>2543</v>
      </c>
    </row>
    <row r="1103" spans="1:4" x14ac:dyDescent="0.25">
      <c r="A1103" s="5">
        <f t="shared" si="89"/>
        <v>2015</v>
      </c>
      <c r="B1103" s="5">
        <f t="shared" si="90"/>
        <v>5</v>
      </c>
      <c r="C1103" s="6">
        <v>42034</v>
      </c>
      <c r="D1103" s="7">
        <v>2428</v>
      </c>
    </row>
    <row r="1104" spans="1:4" x14ac:dyDescent="0.25">
      <c r="A1104" s="5">
        <f t="shared" si="89"/>
        <v>2015</v>
      </c>
      <c r="B1104" s="5">
        <f t="shared" si="90"/>
        <v>6</v>
      </c>
      <c r="C1104" s="6">
        <v>42041</v>
      </c>
      <c r="D1104" s="7">
        <v>2268</v>
      </c>
    </row>
    <row r="1105" spans="1:4" x14ac:dyDescent="0.25">
      <c r="A1105" s="5">
        <f t="shared" si="89"/>
        <v>2015</v>
      </c>
      <c r="B1105" s="5">
        <f t="shared" si="90"/>
        <v>7</v>
      </c>
      <c r="C1105" s="6">
        <v>42048</v>
      </c>
      <c r="D1105" s="7">
        <v>2158</v>
      </c>
    </row>
    <row r="1106" spans="1:4" x14ac:dyDescent="0.25">
      <c r="A1106" s="5">
        <f t="shared" si="89"/>
        <v>2015</v>
      </c>
      <c r="B1106" s="5">
        <f t="shared" si="90"/>
        <v>8</v>
      </c>
      <c r="C1106" s="6">
        <v>42055</v>
      </c>
      <c r="D1106" s="7">
        <v>1938</v>
      </c>
    </row>
    <row r="1107" spans="1:4" x14ac:dyDescent="0.25">
      <c r="A1107" s="5">
        <f t="shared" si="89"/>
        <v>2015</v>
      </c>
      <c r="B1107" s="5">
        <f t="shared" si="90"/>
        <v>9</v>
      </c>
      <c r="C1107" s="6">
        <v>42062</v>
      </c>
      <c r="D1107" s="7">
        <v>1709</v>
      </c>
    </row>
    <row r="1108" spans="1:4" x14ac:dyDescent="0.25">
      <c r="A1108" s="5">
        <f t="shared" si="89"/>
        <v>2015</v>
      </c>
      <c r="B1108" s="5">
        <f t="shared" si="90"/>
        <v>10</v>
      </c>
      <c r="C1108" s="6">
        <v>42069</v>
      </c>
      <c r="D1108" s="7">
        <v>1511</v>
      </c>
    </row>
    <row r="1109" spans="1:4" x14ac:dyDescent="0.25">
      <c r="A1109" s="5">
        <f t="shared" si="89"/>
        <v>2015</v>
      </c>
      <c r="B1109" s="5">
        <f t="shared" si="90"/>
        <v>11</v>
      </c>
      <c r="C1109" s="6">
        <v>42076</v>
      </c>
      <c r="D1109" s="7">
        <v>1468</v>
      </c>
    </row>
    <row r="1110" spans="1:4" x14ac:dyDescent="0.25">
      <c r="A1110" s="5">
        <f t="shared" si="89"/>
        <v>2015</v>
      </c>
      <c r="B1110" s="5">
        <f t="shared" si="90"/>
        <v>12</v>
      </c>
      <c r="C1110" s="6">
        <v>42083</v>
      </c>
      <c r="D1110" s="7">
        <v>1479</v>
      </c>
    </row>
    <row r="1111" spans="1:4" x14ac:dyDescent="0.25">
      <c r="A1111" s="5">
        <f t="shared" si="89"/>
        <v>2015</v>
      </c>
      <c r="B1111" s="5">
        <f t="shared" si="90"/>
        <v>13</v>
      </c>
      <c r="C1111" s="6">
        <v>42090</v>
      </c>
      <c r="D1111" s="7">
        <v>1461</v>
      </c>
    </row>
    <row r="1112" spans="1:4" x14ac:dyDescent="0.25">
      <c r="A1112" s="5">
        <f t="shared" si="89"/>
        <v>2015</v>
      </c>
      <c r="B1112" s="5">
        <f t="shared" si="90"/>
        <v>14</v>
      </c>
      <c r="C1112" s="6">
        <v>42097</v>
      </c>
      <c r="D1112" s="7">
        <v>1476</v>
      </c>
    </row>
    <row r="1113" spans="1:4" x14ac:dyDescent="0.25">
      <c r="A1113" s="5">
        <f t="shared" si="89"/>
        <v>2015</v>
      </c>
      <c r="B1113" s="5">
        <f t="shared" si="90"/>
        <v>15</v>
      </c>
      <c r="C1113" s="6">
        <v>42104</v>
      </c>
      <c r="D1113" s="7">
        <v>1539</v>
      </c>
    </row>
    <row r="1114" spans="1:4" x14ac:dyDescent="0.25">
      <c r="A1114" s="5">
        <f t="shared" si="89"/>
        <v>2015</v>
      </c>
      <c r="B1114" s="5">
        <f t="shared" si="90"/>
        <v>16</v>
      </c>
      <c r="C1114" s="6">
        <v>42111</v>
      </c>
      <c r="D1114" s="7">
        <v>1628</v>
      </c>
    </row>
    <row r="1115" spans="1:4" x14ac:dyDescent="0.25">
      <c r="A1115" s="5">
        <f t="shared" si="89"/>
        <v>2015</v>
      </c>
      <c r="B1115" s="5">
        <f t="shared" si="90"/>
        <v>17</v>
      </c>
      <c r="C1115" s="6">
        <v>42118</v>
      </c>
      <c r="D1115" s="7">
        <v>1711</v>
      </c>
    </row>
    <row r="1116" spans="1:4" x14ac:dyDescent="0.25">
      <c r="A1116" s="5">
        <f t="shared" si="89"/>
        <v>2015</v>
      </c>
      <c r="B1116" s="5">
        <f t="shared" si="90"/>
        <v>18</v>
      </c>
      <c r="C1116" s="6">
        <v>42125</v>
      </c>
      <c r="D1116" s="7">
        <v>1785</v>
      </c>
    </row>
    <row r="1117" spans="1:4" x14ac:dyDescent="0.25">
      <c r="A1117" s="5">
        <f t="shared" si="89"/>
        <v>2015</v>
      </c>
      <c r="B1117" s="5">
        <f t="shared" si="90"/>
        <v>19</v>
      </c>
      <c r="C1117" s="6">
        <v>42132</v>
      </c>
      <c r="D1117" s="7">
        <v>1897</v>
      </c>
    </row>
    <row r="1118" spans="1:4" x14ac:dyDescent="0.25">
      <c r="A1118" s="5">
        <f t="shared" si="89"/>
        <v>2015</v>
      </c>
      <c r="B1118" s="5">
        <f t="shared" si="90"/>
        <v>20</v>
      </c>
      <c r="C1118" s="6">
        <v>42139</v>
      </c>
      <c r="D1118" s="7">
        <v>1989</v>
      </c>
    </row>
    <row r="1119" spans="1:4" x14ac:dyDescent="0.25">
      <c r="A1119" s="5">
        <f t="shared" si="89"/>
        <v>2015</v>
      </c>
      <c r="B1119" s="5">
        <f t="shared" si="90"/>
        <v>21</v>
      </c>
      <c r="C1119" s="6">
        <v>42146</v>
      </c>
      <c r="D1119" s="7">
        <v>2101</v>
      </c>
    </row>
    <row r="1120" spans="1:4" x14ac:dyDescent="0.25">
      <c r="A1120" s="5">
        <f t="shared" si="89"/>
        <v>2015</v>
      </c>
      <c r="B1120" s="5">
        <f t="shared" si="90"/>
        <v>22</v>
      </c>
      <c r="C1120" s="6">
        <v>42153</v>
      </c>
      <c r="D1120" s="7">
        <v>2233</v>
      </c>
    </row>
    <row r="1121" spans="1:4" x14ac:dyDescent="0.25">
      <c r="A1121" s="5">
        <f t="shared" si="89"/>
        <v>2015</v>
      </c>
      <c r="B1121" s="5">
        <f t="shared" si="90"/>
        <v>23</v>
      </c>
      <c r="C1121" s="6">
        <v>42160</v>
      </c>
      <c r="D1121" s="7">
        <v>2344</v>
      </c>
    </row>
    <row r="1122" spans="1:4" x14ac:dyDescent="0.25">
      <c r="A1122" s="5">
        <f t="shared" si="89"/>
        <v>2015</v>
      </c>
      <c r="B1122" s="5">
        <f t="shared" si="90"/>
        <v>24</v>
      </c>
      <c r="C1122" s="6">
        <v>42167</v>
      </c>
      <c r="D1122" s="7">
        <v>2433</v>
      </c>
    </row>
    <row r="1123" spans="1:4" x14ac:dyDescent="0.25">
      <c r="A1123" s="5">
        <f t="shared" si="89"/>
        <v>2015</v>
      </c>
      <c r="B1123" s="5">
        <f t="shared" si="90"/>
        <v>25</v>
      </c>
      <c r="C1123" s="6">
        <v>42174</v>
      </c>
      <c r="D1123" s="7">
        <v>2506</v>
      </c>
    </row>
    <row r="1124" spans="1:4" x14ac:dyDescent="0.25">
      <c r="A1124" s="5">
        <f t="shared" si="89"/>
        <v>2015</v>
      </c>
      <c r="B1124" s="5">
        <f t="shared" si="90"/>
        <v>26</v>
      </c>
      <c r="C1124" s="6">
        <v>42181</v>
      </c>
      <c r="D1124" s="7">
        <v>2579</v>
      </c>
    </row>
    <row r="1125" spans="1:4" x14ac:dyDescent="0.25">
      <c r="A1125" s="5">
        <f t="shared" si="89"/>
        <v>2015</v>
      </c>
      <c r="B1125" s="5">
        <f t="shared" si="90"/>
        <v>27</v>
      </c>
      <c r="C1125" s="6">
        <v>42188</v>
      </c>
      <c r="D1125" s="7">
        <v>2666</v>
      </c>
    </row>
    <row r="1126" spans="1:4" x14ac:dyDescent="0.25">
      <c r="A1126" s="5">
        <f t="shared" si="89"/>
        <v>2015</v>
      </c>
      <c r="B1126" s="5">
        <f t="shared" si="90"/>
        <v>28</v>
      </c>
      <c r="C1126" s="6">
        <v>42195</v>
      </c>
      <c r="D1126" s="7">
        <v>2764</v>
      </c>
    </row>
    <row r="1127" spans="1:4" x14ac:dyDescent="0.25">
      <c r="A1127" s="5">
        <f t="shared" si="89"/>
        <v>2015</v>
      </c>
      <c r="B1127" s="5">
        <f t="shared" si="90"/>
        <v>29</v>
      </c>
      <c r="C1127" s="6">
        <v>42202</v>
      </c>
      <c r="D1127" s="7">
        <v>2823</v>
      </c>
    </row>
    <row r="1128" spans="1:4" x14ac:dyDescent="0.25">
      <c r="A1128" s="5">
        <f t="shared" si="89"/>
        <v>2015</v>
      </c>
      <c r="B1128" s="5">
        <f t="shared" si="90"/>
        <v>30</v>
      </c>
      <c r="C1128" s="6">
        <v>42209</v>
      </c>
      <c r="D1128" s="7">
        <v>2872</v>
      </c>
    </row>
    <row r="1129" spans="1:4" x14ac:dyDescent="0.25">
      <c r="A1129" s="5">
        <f t="shared" si="89"/>
        <v>2015</v>
      </c>
      <c r="B1129" s="5">
        <f t="shared" si="90"/>
        <v>31</v>
      </c>
      <c r="C1129" s="6">
        <v>42216</v>
      </c>
      <c r="D1129" s="7">
        <v>2910</v>
      </c>
    </row>
    <row r="1130" spans="1:4" x14ac:dyDescent="0.25">
      <c r="A1130" s="5">
        <f t="shared" si="89"/>
        <v>2015</v>
      </c>
      <c r="B1130" s="5">
        <f t="shared" si="90"/>
        <v>32</v>
      </c>
      <c r="C1130" s="6">
        <v>42223</v>
      </c>
      <c r="D1130" s="7">
        <v>2975</v>
      </c>
    </row>
    <row r="1131" spans="1:4" x14ac:dyDescent="0.25">
      <c r="A1131" s="5">
        <f t="shared" si="89"/>
        <v>2015</v>
      </c>
      <c r="B1131" s="5">
        <f t="shared" si="90"/>
        <v>33</v>
      </c>
      <c r="C1131" s="6">
        <v>42230</v>
      </c>
      <c r="D1131" s="7">
        <v>3027</v>
      </c>
    </row>
    <row r="1132" spans="1:4" x14ac:dyDescent="0.25">
      <c r="A1132" s="5">
        <f t="shared" si="89"/>
        <v>2015</v>
      </c>
      <c r="B1132" s="5">
        <f t="shared" si="90"/>
        <v>34</v>
      </c>
      <c r="C1132" s="6">
        <v>42237</v>
      </c>
      <c r="D1132" s="7">
        <v>3094</v>
      </c>
    </row>
    <row r="1133" spans="1:4" x14ac:dyDescent="0.25">
      <c r="A1133" s="5">
        <f t="shared" si="89"/>
        <v>2015</v>
      </c>
      <c r="B1133" s="5">
        <f t="shared" si="90"/>
        <v>35</v>
      </c>
      <c r="C1133" s="6">
        <v>42244</v>
      </c>
      <c r="D1133" s="7">
        <v>3190</v>
      </c>
    </row>
    <row r="1134" spans="1:4" x14ac:dyDescent="0.25">
      <c r="A1134" s="5">
        <f t="shared" si="89"/>
        <v>2015</v>
      </c>
      <c r="B1134" s="5">
        <f t="shared" si="90"/>
        <v>36</v>
      </c>
      <c r="C1134" s="6">
        <v>42251</v>
      </c>
      <c r="D1134" s="7">
        <v>3262</v>
      </c>
    </row>
    <row r="1135" spans="1:4" x14ac:dyDescent="0.25">
      <c r="A1135" s="5">
        <f t="shared" si="89"/>
        <v>2015</v>
      </c>
      <c r="B1135" s="5">
        <f t="shared" si="90"/>
        <v>37</v>
      </c>
      <c r="C1135" s="6">
        <v>42258</v>
      </c>
      <c r="D1135" s="7">
        <v>3336</v>
      </c>
    </row>
    <row r="1136" spans="1:4" x14ac:dyDescent="0.25">
      <c r="A1136" s="5">
        <f t="shared" si="89"/>
        <v>2015</v>
      </c>
      <c r="B1136" s="5">
        <f t="shared" si="90"/>
        <v>38</v>
      </c>
      <c r="C1136" s="6">
        <v>42265</v>
      </c>
      <c r="D1136" s="7">
        <v>3441</v>
      </c>
    </row>
    <row r="1137" spans="1:4" x14ac:dyDescent="0.25">
      <c r="A1137" s="5">
        <f t="shared" si="89"/>
        <v>2015</v>
      </c>
      <c r="B1137" s="5">
        <f t="shared" si="90"/>
        <v>39</v>
      </c>
      <c r="C1137" s="6">
        <v>42272</v>
      </c>
      <c r="D1137" s="7">
        <v>3537</v>
      </c>
    </row>
    <row r="1138" spans="1:4" x14ac:dyDescent="0.25">
      <c r="A1138" s="5">
        <f t="shared" si="89"/>
        <v>2015</v>
      </c>
      <c r="B1138" s="5">
        <f t="shared" si="90"/>
        <v>40</v>
      </c>
      <c r="C1138" s="6">
        <v>42279</v>
      </c>
      <c r="D1138" s="7">
        <v>3634</v>
      </c>
    </row>
    <row r="1139" spans="1:4" x14ac:dyDescent="0.25">
      <c r="A1139" s="5">
        <f t="shared" si="89"/>
        <v>2015</v>
      </c>
      <c r="B1139" s="5">
        <f t="shared" si="90"/>
        <v>41</v>
      </c>
      <c r="C1139" s="6">
        <v>42286</v>
      </c>
      <c r="D1139" s="7">
        <v>3731</v>
      </c>
    </row>
    <row r="1140" spans="1:4" x14ac:dyDescent="0.25">
      <c r="A1140" s="5">
        <f t="shared" si="89"/>
        <v>2015</v>
      </c>
      <c r="B1140" s="5">
        <f t="shared" si="90"/>
        <v>42</v>
      </c>
      <c r="C1140" s="6">
        <v>42293</v>
      </c>
      <c r="D1140" s="7">
        <v>3813</v>
      </c>
    </row>
    <row r="1141" spans="1:4" x14ac:dyDescent="0.25">
      <c r="A1141" s="5">
        <f t="shared" si="89"/>
        <v>2015</v>
      </c>
      <c r="B1141" s="5">
        <f t="shared" si="90"/>
        <v>43</v>
      </c>
      <c r="C1141" s="6">
        <v>42300</v>
      </c>
      <c r="D1141" s="7">
        <v>3875</v>
      </c>
    </row>
    <row r="1142" spans="1:4" x14ac:dyDescent="0.25">
      <c r="A1142" s="5">
        <f t="shared" si="89"/>
        <v>2015</v>
      </c>
      <c r="B1142" s="5">
        <f t="shared" si="90"/>
        <v>44</v>
      </c>
      <c r="C1142" s="6">
        <v>42307</v>
      </c>
      <c r="D1142" s="7">
        <v>3931</v>
      </c>
    </row>
    <row r="1143" spans="1:4" x14ac:dyDescent="0.25">
      <c r="A1143" s="5">
        <f t="shared" si="89"/>
        <v>2015</v>
      </c>
      <c r="B1143" s="5">
        <f t="shared" si="90"/>
        <v>45</v>
      </c>
      <c r="C1143" s="6">
        <v>42314</v>
      </c>
      <c r="D1143" s="7">
        <v>3985</v>
      </c>
    </row>
    <row r="1144" spans="1:4" x14ac:dyDescent="0.25">
      <c r="A1144" s="5">
        <f t="shared" si="89"/>
        <v>2015</v>
      </c>
      <c r="B1144" s="5">
        <f t="shared" si="90"/>
        <v>46</v>
      </c>
      <c r="C1144" s="6">
        <v>42321</v>
      </c>
      <c r="D1144" s="7">
        <v>4000</v>
      </c>
    </row>
    <row r="1145" spans="1:4" x14ac:dyDescent="0.25">
      <c r="A1145" s="5">
        <f t="shared" si="89"/>
        <v>2015</v>
      </c>
      <c r="B1145" s="5">
        <f t="shared" si="90"/>
        <v>47</v>
      </c>
      <c r="C1145" s="6">
        <v>42328</v>
      </c>
      <c r="D1145" s="7">
        <v>4009</v>
      </c>
    </row>
    <row r="1146" spans="1:4" x14ac:dyDescent="0.25">
      <c r="A1146" s="5">
        <f t="shared" si="89"/>
        <v>2015</v>
      </c>
      <c r="B1146" s="5">
        <f t="shared" si="90"/>
        <v>48</v>
      </c>
      <c r="C1146" s="6">
        <v>42335</v>
      </c>
      <c r="D1146" s="7">
        <v>3956</v>
      </c>
    </row>
    <row r="1147" spans="1:4" x14ac:dyDescent="0.25">
      <c r="A1147" s="5">
        <f t="shared" si="89"/>
        <v>2015</v>
      </c>
      <c r="B1147" s="5">
        <f t="shared" si="90"/>
        <v>49</v>
      </c>
      <c r="C1147" s="6">
        <v>42342</v>
      </c>
      <c r="D1147" s="7">
        <v>3880</v>
      </c>
    </row>
    <row r="1148" spans="1:4" x14ac:dyDescent="0.25">
      <c r="A1148" s="5">
        <f t="shared" si="89"/>
        <v>2015</v>
      </c>
      <c r="B1148" s="5">
        <f t="shared" si="90"/>
        <v>50</v>
      </c>
      <c r="C1148" s="6">
        <v>42349</v>
      </c>
      <c r="D1148" s="7">
        <v>3846</v>
      </c>
    </row>
    <row r="1149" spans="1:4" x14ac:dyDescent="0.25">
      <c r="A1149" s="5">
        <f t="shared" ref="A1149:A1212" si="91">YEAR(C1149)</f>
        <v>2015</v>
      </c>
      <c r="B1149" s="5">
        <f t="shared" ref="B1149:B1212" si="92">WEEKNUM(C1149)</f>
        <v>51</v>
      </c>
      <c r="C1149" s="6">
        <v>42356</v>
      </c>
      <c r="D1149" s="7">
        <v>3814</v>
      </c>
    </row>
    <row r="1150" spans="1:4" x14ac:dyDescent="0.25">
      <c r="A1150" s="5">
        <f t="shared" si="91"/>
        <v>2015</v>
      </c>
      <c r="B1150" s="5">
        <f t="shared" si="92"/>
        <v>52</v>
      </c>
      <c r="C1150" s="6">
        <v>42363</v>
      </c>
      <c r="D1150" s="7">
        <v>3756</v>
      </c>
    </row>
    <row r="1151" spans="1:4" x14ac:dyDescent="0.25">
      <c r="A1151" s="5">
        <f t="shared" si="91"/>
        <v>2016</v>
      </c>
      <c r="B1151" s="5">
        <f t="shared" si="92"/>
        <v>1</v>
      </c>
      <c r="C1151" s="6">
        <v>42370</v>
      </c>
      <c r="D1151" s="7">
        <v>3643</v>
      </c>
    </row>
    <row r="1152" spans="1:4" x14ac:dyDescent="0.25">
      <c r="A1152" s="5">
        <f t="shared" si="91"/>
        <v>2016</v>
      </c>
      <c r="B1152" s="5">
        <f t="shared" si="92"/>
        <v>2</v>
      </c>
      <c r="C1152" s="6">
        <v>42377</v>
      </c>
      <c r="D1152" s="7">
        <v>3475</v>
      </c>
    </row>
    <row r="1153" spans="1:4" x14ac:dyDescent="0.25">
      <c r="A1153" s="5">
        <f t="shared" si="91"/>
        <v>2016</v>
      </c>
      <c r="B1153" s="5">
        <f t="shared" si="92"/>
        <v>3</v>
      </c>
      <c r="C1153" s="6">
        <v>42384</v>
      </c>
      <c r="D1153" s="7">
        <v>3297</v>
      </c>
    </row>
    <row r="1154" spans="1:4" x14ac:dyDescent="0.25">
      <c r="A1154" s="5">
        <f t="shared" si="91"/>
        <v>2016</v>
      </c>
      <c r="B1154" s="5">
        <f t="shared" si="92"/>
        <v>4</v>
      </c>
      <c r="C1154" s="6">
        <v>42391</v>
      </c>
      <c r="D1154" s="7">
        <v>3086</v>
      </c>
    </row>
    <row r="1155" spans="1:4" x14ac:dyDescent="0.25">
      <c r="A1155" s="5">
        <f t="shared" si="91"/>
        <v>2016</v>
      </c>
      <c r="B1155" s="5">
        <f t="shared" si="92"/>
        <v>5</v>
      </c>
      <c r="C1155" s="6">
        <v>42398</v>
      </c>
      <c r="D1155" s="7">
        <v>2934</v>
      </c>
    </row>
    <row r="1156" spans="1:4" x14ac:dyDescent="0.25">
      <c r="A1156" s="5">
        <f t="shared" si="91"/>
        <v>2016</v>
      </c>
      <c r="B1156" s="5">
        <f t="shared" si="92"/>
        <v>6</v>
      </c>
      <c r="C1156" s="6">
        <v>42405</v>
      </c>
      <c r="D1156" s="7">
        <v>2864</v>
      </c>
    </row>
    <row r="1157" spans="1:4" x14ac:dyDescent="0.25">
      <c r="A1157" s="5">
        <f t="shared" si="91"/>
        <v>2016</v>
      </c>
      <c r="B1157" s="5">
        <f t="shared" si="92"/>
        <v>7</v>
      </c>
      <c r="C1157" s="6">
        <v>42412</v>
      </c>
      <c r="D1157" s="7">
        <v>2701</v>
      </c>
    </row>
    <row r="1158" spans="1:4" x14ac:dyDescent="0.25">
      <c r="A1158" s="5">
        <f t="shared" si="91"/>
        <v>2016</v>
      </c>
      <c r="B1158" s="5">
        <f t="shared" si="92"/>
        <v>8</v>
      </c>
      <c r="C1158" s="6">
        <v>42419</v>
      </c>
      <c r="D1158" s="7">
        <v>2584</v>
      </c>
    </row>
    <row r="1159" spans="1:4" x14ac:dyDescent="0.25">
      <c r="A1159" s="5">
        <f t="shared" si="91"/>
        <v>2016</v>
      </c>
      <c r="B1159" s="5">
        <f t="shared" si="92"/>
        <v>9</v>
      </c>
      <c r="C1159" s="6">
        <v>42426</v>
      </c>
      <c r="D1159" s="7">
        <v>2536</v>
      </c>
    </row>
    <row r="1160" spans="1:4" x14ac:dyDescent="0.25">
      <c r="A1160" s="5">
        <f t="shared" si="91"/>
        <v>2016</v>
      </c>
      <c r="B1160" s="5">
        <f t="shared" si="92"/>
        <v>10</v>
      </c>
      <c r="C1160" s="6">
        <v>42433</v>
      </c>
      <c r="D1160" s="7">
        <v>2479</v>
      </c>
    </row>
    <row r="1161" spans="1:4" x14ac:dyDescent="0.25">
      <c r="A1161" s="5">
        <f t="shared" si="91"/>
        <v>2016</v>
      </c>
      <c r="B1161" s="5">
        <f t="shared" si="92"/>
        <v>11</v>
      </c>
      <c r="C1161" s="6">
        <v>42440</v>
      </c>
      <c r="D1161" s="7">
        <v>2478</v>
      </c>
    </row>
    <row r="1162" spans="1:4" x14ac:dyDescent="0.25">
      <c r="A1162" s="5">
        <f t="shared" si="91"/>
        <v>2016</v>
      </c>
      <c r="B1162" s="5">
        <f t="shared" si="92"/>
        <v>12</v>
      </c>
      <c r="C1162" s="6">
        <v>42447</v>
      </c>
      <c r="D1162" s="7">
        <v>2493</v>
      </c>
    </row>
    <row r="1163" spans="1:4" x14ac:dyDescent="0.25">
      <c r="A1163" s="5">
        <f t="shared" si="91"/>
        <v>2016</v>
      </c>
      <c r="B1163" s="5">
        <f t="shared" si="92"/>
        <v>13</v>
      </c>
      <c r="C1163" s="6">
        <v>42454</v>
      </c>
      <c r="D1163" s="7">
        <v>2468</v>
      </c>
    </row>
    <row r="1164" spans="1:4" x14ac:dyDescent="0.25">
      <c r="A1164" s="5">
        <f t="shared" si="91"/>
        <v>2016</v>
      </c>
      <c r="B1164" s="5">
        <f t="shared" si="92"/>
        <v>14</v>
      </c>
      <c r="C1164" s="6">
        <v>42461</v>
      </c>
      <c r="D1164" s="7">
        <v>2480</v>
      </c>
    </row>
    <row r="1165" spans="1:4" x14ac:dyDescent="0.25">
      <c r="A1165" s="5">
        <f t="shared" si="91"/>
        <v>2016</v>
      </c>
      <c r="B1165" s="5">
        <f t="shared" si="92"/>
        <v>15</v>
      </c>
      <c r="C1165" s="6">
        <v>42468</v>
      </c>
      <c r="D1165" s="7">
        <v>2477</v>
      </c>
    </row>
    <row r="1166" spans="1:4" x14ac:dyDescent="0.25">
      <c r="A1166" s="5">
        <f t="shared" si="91"/>
        <v>2016</v>
      </c>
      <c r="B1166" s="5">
        <f t="shared" si="92"/>
        <v>16</v>
      </c>
      <c r="C1166" s="6">
        <v>42475</v>
      </c>
      <c r="D1166" s="7">
        <v>2484</v>
      </c>
    </row>
    <row r="1167" spans="1:4" x14ac:dyDescent="0.25">
      <c r="A1167" s="5">
        <f t="shared" si="91"/>
        <v>2016</v>
      </c>
      <c r="B1167" s="5">
        <f t="shared" si="92"/>
        <v>17</v>
      </c>
      <c r="C1167" s="6">
        <v>42482</v>
      </c>
      <c r="D1167" s="7">
        <v>2557</v>
      </c>
    </row>
    <row r="1168" spans="1:4" x14ac:dyDescent="0.25">
      <c r="A1168" s="5">
        <f t="shared" si="91"/>
        <v>2016</v>
      </c>
      <c r="B1168" s="5">
        <f t="shared" si="92"/>
        <v>18</v>
      </c>
      <c r="C1168" s="6">
        <v>42489</v>
      </c>
      <c r="D1168" s="7">
        <v>2625</v>
      </c>
    </row>
    <row r="1169" spans="1:4" x14ac:dyDescent="0.25">
      <c r="A1169" s="5">
        <f t="shared" si="91"/>
        <v>2016</v>
      </c>
      <c r="B1169" s="5">
        <f t="shared" si="92"/>
        <v>19</v>
      </c>
      <c r="C1169" s="6">
        <v>42496</v>
      </c>
      <c r="D1169" s="7">
        <v>2681</v>
      </c>
    </row>
    <row r="1170" spans="1:4" x14ac:dyDescent="0.25">
      <c r="A1170" s="5">
        <f t="shared" si="91"/>
        <v>2016</v>
      </c>
      <c r="B1170" s="5">
        <f t="shared" si="92"/>
        <v>20</v>
      </c>
      <c r="C1170" s="6">
        <v>42503</v>
      </c>
      <c r="D1170" s="7">
        <v>2754</v>
      </c>
    </row>
    <row r="1171" spans="1:4" x14ac:dyDescent="0.25">
      <c r="A1171" s="5">
        <f t="shared" si="91"/>
        <v>2016</v>
      </c>
      <c r="B1171" s="5">
        <f t="shared" si="92"/>
        <v>21</v>
      </c>
      <c r="C1171" s="6">
        <v>42510</v>
      </c>
      <c r="D1171" s="7">
        <v>2825</v>
      </c>
    </row>
    <row r="1172" spans="1:4" x14ac:dyDescent="0.25">
      <c r="A1172" s="5">
        <f t="shared" si="91"/>
        <v>2016</v>
      </c>
      <c r="B1172" s="5">
        <f t="shared" si="92"/>
        <v>22</v>
      </c>
      <c r="C1172" s="6">
        <v>42517</v>
      </c>
      <c r="D1172" s="7">
        <v>2907</v>
      </c>
    </row>
    <row r="1173" spans="1:4" x14ac:dyDescent="0.25">
      <c r="A1173" s="5">
        <f t="shared" si="91"/>
        <v>2016</v>
      </c>
      <c r="B1173" s="5">
        <f t="shared" si="92"/>
        <v>23</v>
      </c>
      <c r="C1173" s="6">
        <v>42524</v>
      </c>
      <c r="D1173" s="7">
        <v>2972</v>
      </c>
    </row>
    <row r="1174" spans="1:4" x14ac:dyDescent="0.25">
      <c r="A1174" s="5">
        <f t="shared" si="91"/>
        <v>2016</v>
      </c>
      <c r="B1174" s="5">
        <f t="shared" si="92"/>
        <v>24</v>
      </c>
      <c r="C1174" s="6">
        <v>42531</v>
      </c>
      <c r="D1174" s="7">
        <v>3041</v>
      </c>
    </row>
    <row r="1175" spans="1:4" x14ac:dyDescent="0.25">
      <c r="A1175" s="5">
        <f t="shared" si="91"/>
        <v>2016</v>
      </c>
      <c r="B1175" s="5">
        <f t="shared" si="92"/>
        <v>25</v>
      </c>
      <c r="C1175" s="6">
        <v>42538</v>
      </c>
      <c r="D1175" s="7">
        <v>3103</v>
      </c>
    </row>
    <row r="1176" spans="1:4" x14ac:dyDescent="0.25">
      <c r="A1176" s="5">
        <f t="shared" si="91"/>
        <v>2016</v>
      </c>
      <c r="B1176" s="5">
        <f t="shared" si="92"/>
        <v>26</v>
      </c>
      <c r="C1176" s="6">
        <v>42545</v>
      </c>
      <c r="D1176" s="7">
        <v>3140</v>
      </c>
    </row>
    <row r="1177" spans="1:4" x14ac:dyDescent="0.25">
      <c r="A1177" s="5">
        <f t="shared" si="91"/>
        <v>2016</v>
      </c>
      <c r="B1177" s="5">
        <f t="shared" si="92"/>
        <v>27</v>
      </c>
      <c r="C1177" s="6">
        <v>42552</v>
      </c>
      <c r="D1177" s="7">
        <v>3179</v>
      </c>
    </row>
    <row r="1178" spans="1:4" x14ac:dyDescent="0.25">
      <c r="A1178" s="5">
        <f t="shared" si="91"/>
        <v>2016</v>
      </c>
      <c r="B1178" s="5">
        <f t="shared" si="92"/>
        <v>28</v>
      </c>
      <c r="C1178" s="6">
        <v>42559</v>
      </c>
      <c r="D1178" s="7">
        <v>3243</v>
      </c>
    </row>
    <row r="1179" spans="1:4" x14ac:dyDescent="0.25">
      <c r="A1179" s="5">
        <f t="shared" si="91"/>
        <v>2016</v>
      </c>
      <c r="B1179" s="5">
        <f t="shared" si="92"/>
        <v>29</v>
      </c>
      <c r="C1179" s="6">
        <v>42566</v>
      </c>
      <c r="D1179" s="7">
        <v>3277</v>
      </c>
    </row>
    <row r="1180" spans="1:4" x14ac:dyDescent="0.25">
      <c r="A1180" s="5">
        <f t="shared" si="91"/>
        <v>2016</v>
      </c>
      <c r="B1180" s="5">
        <f t="shared" si="92"/>
        <v>30</v>
      </c>
      <c r="C1180" s="6">
        <v>42573</v>
      </c>
      <c r="D1180" s="7">
        <v>3294</v>
      </c>
    </row>
    <row r="1181" spans="1:4" x14ac:dyDescent="0.25">
      <c r="A1181" s="5">
        <f t="shared" si="91"/>
        <v>2016</v>
      </c>
      <c r="B1181" s="5">
        <f t="shared" si="92"/>
        <v>31</v>
      </c>
      <c r="C1181" s="6">
        <v>42580</v>
      </c>
      <c r="D1181" s="7">
        <v>3288</v>
      </c>
    </row>
    <row r="1182" spans="1:4" x14ac:dyDescent="0.25">
      <c r="A1182" s="5">
        <f t="shared" si="91"/>
        <v>2016</v>
      </c>
      <c r="B1182" s="5">
        <f t="shared" si="92"/>
        <v>32</v>
      </c>
      <c r="C1182" s="6">
        <v>42587</v>
      </c>
      <c r="D1182" s="7">
        <v>3317</v>
      </c>
    </row>
    <row r="1183" spans="1:4" x14ac:dyDescent="0.25">
      <c r="A1183" s="5">
        <f t="shared" si="91"/>
        <v>2016</v>
      </c>
      <c r="B1183" s="5">
        <f t="shared" si="92"/>
        <v>33</v>
      </c>
      <c r="C1183" s="6">
        <v>42594</v>
      </c>
      <c r="D1183" s="7">
        <v>3339</v>
      </c>
    </row>
    <row r="1184" spans="1:4" x14ac:dyDescent="0.25">
      <c r="A1184" s="5">
        <f t="shared" si="91"/>
        <v>2016</v>
      </c>
      <c r="B1184" s="5">
        <f t="shared" si="92"/>
        <v>34</v>
      </c>
      <c r="C1184" s="6">
        <v>42601</v>
      </c>
      <c r="D1184" s="7">
        <v>3350</v>
      </c>
    </row>
    <row r="1185" spans="1:4" x14ac:dyDescent="0.25">
      <c r="A1185" s="5">
        <f t="shared" si="91"/>
        <v>2016</v>
      </c>
      <c r="B1185" s="5">
        <f t="shared" si="92"/>
        <v>35</v>
      </c>
      <c r="C1185" s="6">
        <v>42608</v>
      </c>
      <c r="D1185" s="7">
        <v>3401</v>
      </c>
    </row>
    <row r="1186" spans="1:4" x14ac:dyDescent="0.25">
      <c r="A1186" s="5">
        <f t="shared" si="91"/>
        <v>2016</v>
      </c>
      <c r="B1186" s="5">
        <f t="shared" si="92"/>
        <v>36</v>
      </c>
      <c r="C1186" s="6">
        <v>42615</v>
      </c>
      <c r="D1186" s="7">
        <v>3437</v>
      </c>
    </row>
    <row r="1187" spans="1:4" x14ac:dyDescent="0.25">
      <c r="A1187" s="5">
        <f t="shared" si="91"/>
        <v>2016</v>
      </c>
      <c r="B1187" s="5">
        <f t="shared" si="92"/>
        <v>37</v>
      </c>
      <c r="C1187" s="6">
        <v>42622</v>
      </c>
      <c r="D1187" s="7">
        <v>3499</v>
      </c>
    </row>
    <row r="1188" spans="1:4" x14ac:dyDescent="0.25">
      <c r="A1188" s="5">
        <f t="shared" si="91"/>
        <v>2016</v>
      </c>
      <c r="B1188" s="5">
        <f t="shared" si="92"/>
        <v>38</v>
      </c>
      <c r="C1188" s="6">
        <v>42629</v>
      </c>
      <c r="D1188" s="7">
        <v>3551</v>
      </c>
    </row>
    <row r="1189" spans="1:4" x14ac:dyDescent="0.25">
      <c r="A1189" s="5">
        <f t="shared" si="91"/>
        <v>2016</v>
      </c>
      <c r="B1189" s="5">
        <f t="shared" si="92"/>
        <v>39</v>
      </c>
      <c r="C1189" s="6">
        <v>42636</v>
      </c>
      <c r="D1189" s="7">
        <v>3600</v>
      </c>
    </row>
    <row r="1190" spans="1:4" x14ac:dyDescent="0.25">
      <c r="A1190" s="5">
        <f t="shared" si="91"/>
        <v>2016</v>
      </c>
      <c r="B1190" s="5">
        <f t="shared" si="92"/>
        <v>40</v>
      </c>
      <c r="C1190" s="6">
        <v>42643</v>
      </c>
      <c r="D1190" s="7">
        <v>3680</v>
      </c>
    </row>
    <row r="1191" spans="1:4" x14ac:dyDescent="0.25">
      <c r="A1191" s="5">
        <f t="shared" si="91"/>
        <v>2016</v>
      </c>
      <c r="B1191" s="5">
        <f t="shared" si="92"/>
        <v>41</v>
      </c>
      <c r="C1191" s="6">
        <v>42650</v>
      </c>
      <c r="D1191" s="7">
        <v>3759</v>
      </c>
    </row>
    <row r="1192" spans="1:4" x14ac:dyDescent="0.25">
      <c r="A1192" s="5">
        <f t="shared" si="91"/>
        <v>2016</v>
      </c>
      <c r="B1192" s="5">
        <f t="shared" si="92"/>
        <v>42</v>
      </c>
      <c r="C1192" s="6">
        <v>42657</v>
      </c>
      <c r="D1192" s="7">
        <v>3836</v>
      </c>
    </row>
    <row r="1193" spans="1:4" x14ac:dyDescent="0.25">
      <c r="A1193" s="5">
        <f t="shared" si="91"/>
        <v>2016</v>
      </c>
      <c r="B1193" s="5">
        <f t="shared" si="92"/>
        <v>43</v>
      </c>
      <c r="C1193" s="6">
        <v>42664</v>
      </c>
      <c r="D1193" s="7">
        <v>3909</v>
      </c>
    </row>
    <row r="1194" spans="1:4" x14ac:dyDescent="0.25">
      <c r="A1194" s="5">
        <f t="shared" si="91"/>
        <v>2016</v>
      </c>
      <c r="B1194" s="5">
        <f t="shared" si="92"/>
        <v>44</v>
      </c>
      <c r="C1194" s="6">
        <v>42671</v>
      </c>
      <c r="D1194" s="7">
        <v>3963</v>
      </c>
    </row>
    <row r="1195" spans="1:4" x14ac:dyDescent="0.25">
      <c r="A1195" s="5">
        <f t="shared" si="91"/>
        <v>2016</v>
      </c>
      <c r="B1195" s="5">
        <f t="shared" si="92"/>
        <v>45</v>
      </c>
      <c r="C1195" s="6">
        <v>42678</v>
      </c>
      <c r="D1195" s="7">
        <v>4017</v>
      </c>
    </row>
    <row r="1196" spans="1:4" x14ac:dyDescent="0.25">
      <c r="A1196" s="5">
        <f t="shared" si="91"/>
        <v>2016</v>
      </c>
      <c r="B1196" s="5">
        <f t="shared" si="92"/>
        <v>46</v>
      </c>
      <c r="C1196" s="6">
        <v>42685</v>
      </c>
      <c r="D1196" s="7">
        <v>4047</v>
      </c>
    </row>
    <row r="1197" spans="1:4" x14ac:dyDescent="0.25">
      <c r="A1197" s="5">
        <f t="shared" si="91"/>
        <v>2016</v>
      </c>
      <c r="B1197" s="5">
        <f t="shared" si="92"/>
        <v>47</v>
      </c>
      <c r="C1197" s="6">
        <v>42692</v>
      </c>
      <c r="D1197" s="7">
        <v>4045</v>
      </c>
    </row>
    <row r="1198" spans="1:4" x14ac:dyDescent="0.25">
      <c r="A1198" s="5">
        <f t="shared" si="91"/>
        <v>2016</v>
      </c>
      <c r="B1198" s="5">
        <f t="shared" si="92"/>
        <v>48</v>
      </c>
      <c r="C1198" s="6">
        <v>42699</v>
      </c>
      <c r="D1198" s="7">
        <v>3995</v>
      </c>
    </row>
    <row r="1199" spans="1:4" x14ac:dyDescent="0.25">
      <c r="A1199" s="5">
        <f t="shared" si="91"/>
        <v>2016</v>
      </c>
      <c r="B1199" s="5">
        <f t="shared" si="92"/>
        <v>49</v>
      </c>
      <c r="C1199" s="6">
        <v>42706</v>
      </c>
      <c r="D1199" s="7">
        <v>3953</v>
      </c>
    </row>
    <row r="1200" spans="1:4" x14ac:dyDescent="0.25">
      <c r="A1200" s="5">
        <f t="shared" si="91"/>
        <v>2016</v>
      </c>
      <c r="B1200" s="5">
        <f t="shared" si="92"/>
        <v>50</v>
      </c>
      <c r="C1200" s="6">
        <v>42713</v>
      </c>
      <c r="D1200" s="7">
        <v>3806</v>
      </c>
    </row>
    <row r="1201" spans="1:4" x14ac:dyDescent="0.25">
      <c r="A1201" s="5">
        <f t="shared" si="91"/>
        <v>2016</v>
      </c>
      <c r="B1201" s="5">
        <f t="shared" si="92"/>
        <v>51</v>
      </c>
      <c r="C1201" s="6">
        <v>42720</v>
      </c>
      <c r="D1201" s="7">
        <v>3597</v>
      </c>
    </row>
    <row r="1202" spans="1:4" x14ac:dyDescent="0.25">
      <c r="A1202" s="5">
        <f t="shared" si="91"/>
        <v>2016</v>
      </c>
      <c r="B1202" s="5">
        <f t="shared" si="92"/>
        <v>52</v>
      </c>
      <c r="C1202" s="6">
        <v>42727</v>
      </c>
      <c r="D1202" s="7">
        <v>3360</v>
      </c>
    </row>
    <row r="1203" spans="1:4" x14ac:dyDescent="0.25">
      <c r="A1203" s="5">
        <f t="shared" si="91"/>
        <v>2016</v>
      </c>
      <c r="B1203" s="5">
        <f t="shared" si="92"/>
        <v>53</v>
      </c>
      <c r="C1203" s="6">
        <v>42734</v>
      </c>
      <c r="D1203" s="7">
        <v>3311</v>
      </c>
    </row>
    <row r="1204" spans="1:4" x14ac:dyDescent="0.25">
      <c r="A1204" s="5">
        <f t="shared" si="91"/>
        <v>2017</v>
      </c>
      <c r="B1204" s="5">
        <f t="shared" si="92"/>
        <v>1</v>
      </c>
      <c r="C1204" s="6">
        <v>42741</v>
      </c>
      <c r="D1204" s="7">
        <v>3160</v>
      </c>
    </row>
    <row r="1205" spans="1:4" x14ac:dyDescent="0.25">
      <c r="A1205" s="5">
        <f t="shared" si="91"/>
        <v>2017</v>
      </c>
      <c r="B1205" s="5">
        <f t="shared" si="92"/>
        <v>2</v>
      </c>
      <c r="C1205" s="6">
        <v>42748</v>
      </c>
      <c r="D1205" s="7">
        <v>2917</v>
      </c>
    </row>
    <row r="1206" spans="1:4" x14ac:dyDescent="0.25">
      <c r="A1206" s="5">
        <f t="shared" si="91"/>
        <v>2017</v>
      </c>
      <c r="B1206" s="5">
        <f t="shared" si="92"/>
        <v>3</v>
      </c>
      <c r="C1206" s="6">
        <v>42755</v>
      </c>
      <c r="D1206" s="7">
        <v>2798</v>
      </c>
    </row>
    <row r="1207" spans="1:4" x14ac:dyDescent="0.25">
      <c r="A1207" s="5">
        <f t="shared" si="91"/>
        <v>2017</v>
      </c>
      <c r="B1207" s="5">
        <f t="shared" si="92"/>
        <v>4</v>
      </c>
      <c r="C1207" s="6">
        <v>42762</v>
      </c>
      <c r="D1207" s="7">
        <v>2711</v>
      </c>
    </row>
    <row r="1208" spans="1:4" x14ac:dyDescent="0.25">
      <c r="A1208" s="5">
        <f t="shared" si="91"/>
        <v>2017</v>
      </c>
      <c r="B1208" s="5">
        <f t="shared" si="92"/>
        <v>5</v>
      </c>
      <c r="C1208" s="6">
        <v>42769</v>
      </c>
      <c r="D1208" s="7">
        <v>2559</v>
      </c>
    </row>
    <row r="1209" spans="1:4" x14ac:dyDescent="0.25">
      <c r="A1209" s="5">
        <f t="shared" si="91"/>
        <v>2017</v>
      </c>
      <c r="B1209" s="5">
        <f t="shared" si="92"/>
        <v>6</v>
      </c>
      <c r="C1209" s="6">
        <v>42776</v>
      </c>
      <c r="D1209" s="7">
        <v>2445</v>
      </c>
    </row>
    <row r="1210" spans="1:4" x14ac:dyDescent="0.25">
      <c r="A1210" s="5">
        <f t="shared" si="91"/>
        <v>2017</v>
      </c>
      <c r="B1210" s="5">
        <f t="shared" si="92"/>
        <v>7</v>
      </c>
      <c r="C1210" s="6">
        <v>42783</v>
      </c>
      <c r="D1210" s="7">
        <v>2356</v>
      </c>
    </row>
    <row r="1211" spans="1:4" x14ac:dyDescent="0.25">
      <c r="A1211" s="5">
        <f t="shared" si="91"/>
        <v>2017</v>
      </c>
      <c r="B1211" s="5">
        <f t="shared" si="92"/>
        <v>8</v>
      </c>
      <c r="C1211" s="6">
        <v>42790</v>
      </c>
      <c r="D1211" s="7">
        <v>2363</v>
      </c>
    </row>
    <row r="1212" spans="1:4" x14ac:dyDescent="0.25">
      <c r="A1212" s="5">
        <f t="shared" si="91"/>
        <v>2017</v>
      </c>
      <c r="B1212" s="5">
        <f t="shared" si="92"/>
        <v>9</v>
      </c>
      <c r="C1212" s="6">
        <v>42797</v>
      </c>
      <c r="D1212" s="7">
        <v>2295</v>
      </c>
    </row>
    <row r="1213" spans="1:4" x14ac:dyDescent="0.25">
      <c r="A1213" s="5">
        <f t="shared" ref="A1213:A1276" si="93">YEAR(C1213)</f>
        <v>2017</v>
      </c>
      <c r="B1213" s="5">
        <f t="shared" ref="B1213:B1276" si="94">WEEKNUM(C1213)</f>
        <v>10</v>
      </c>
      <c r="C1213" s="6">
        <v>42804</v>
      </c>
      <c r="D1213" s="7">
        <v>2242</v>
      </c>
    </row>
    <row r="1214" spans="1:4" x14ac:dyDescent="0.25">
      <c r="A1214" s="5">
        <f t="shared" si="93"/>
        <v>2017</v>
      </c>
      <c r="B1214" s="5">
        <f t="shared" si="94"/>
        <v>11</v>
      </c>
      <c r="C1214" s="6">
        <v>42811</v>
      </c>
      <c r="D1214" s="7">
        <v>2092</v>
      </c>
    </row>
    <row r="1215" spans="1:4" x14ac:dyDescent="0.25">
      <c r="A1215" s="5">
        <f t="shared" si="93"/>
        <v>2017</v>
      </c>
      <c r="B1215" s="5">
        <f t="shared" si="94"/>
        <v>12</v>
      </c>
      <c r="C1215" s="6">
        <v>42818</v>
      </c>
      <c r="D1215" s="7">
        <v>2049</v>
      </c>
    </row>
    <row r="1216" spans="1:4" x14ac:dyDescent="0.25">
      <c r="A1216" s="5">
        <f t="shared" si="93"/>
        <v>2017</v>
      </c>
      <c r="B1216" s="5">
        <f t="shared" si="94"/>
        <v>13</v>
      </c>
      <c r="C1216" s="6">
        <v>42825</v>
      </c>
      <c r="D1216" s="7">
        <v>2051</v>
      </c>
    </row>
    <row r="1217" spans="1:4" x14ac:dyDescent="0.25">
      <c r="A1217" s="5">
        <f t="shared" si="93"/>
        <v>2017</v>
      </c>
      <c r="B1217" s="5">
        <f t="shared" si="94"/>
        <v>14</v>
      </c>
      <c r="C1217" s="6">
        <v>42832</v>
      </c>
      <c r="D1217" s="7">
        <v>2061</v>
      </c>
    </row>
    <row r="1218" spans="1:4" x14ac:dyDescent="0.25">
      <c r="A1218" s="5">
        <f t="shared" si="93"/>
        <v>2017</v>
      </c>
      <c r="B1218" s="5">
        <f t="shared" si="94"/>
        <v>15</v>
      </c>
      <c r="C1218" s="6">
        <v>42839</v>
      </c>
      <c r="D1218" s="7">
        <v>2115</v>
      </c>
    </row>
    <row r="1219" spans="1:4" x14ac:dyDescent="0.25">
      <c r="A1219" s="5">
        <f t="shared" si="93"/>
        <v>2017</v>
      </c>
      <c r="B1219" s="5">
        <f t="shared" si="94"/>
        <v>16</v>
      </c>
      <c r="C1219" s="6">
        <v>42846</v>
      </c>
      <c r="D1219" s="7">
        <v>2189</v>
      </c>
    </row>
    <row r="1220" spans="1:4" x14ac:dyDescent="0.25">
      <c r="A1220" s="5">
        <f t="shared" si="93"/>
        <v>2017</v>
      </c>
      <c r="B1220" s="5">
        <f t="shared" si="94"/>
        <v>17</v>
      </c>
      <c r="C1220" s="6">
        <v>42853</v>
      </c>
      <c r="D1220" s="7">
        <v>2256</v>
      </c>
    </row>
    <row r="1221" spans="1:4" x14ac:dyDescent="0.25">
      <c r="A1221" s="5">
        <f t="shared" si="93"/>
        <v>2017</v>
      </c>
      <c r="B1221" s="5">
        <f t="shared" si="94"/>
        <v>18</v>
      </c>
      <c r="C1221" s="6">
        <v>42860</v>
      </c>
      <c r="D1221" s="7">
        <v>2301</v>
      </c>
    </row>
    <row r="1222" spans="1:4" x14ac:dyDescent="0.25">
      <c r="A1222" s="5">
        <f t="shared" si="93"/>
        <v>2017</v>
      </c>
      <c r="B1222" s="5">
        <f t="shared" si="94"/>
        <v>19</v>
      </c>
      <c r="C1222" s="6">
        <v>42867</v>
      </c>
      <c r="D1222" s="7">
        <v>2369</v>
      </c>
    </row>
    <row r="1223" spans="1:4" x14ac:dyDescent="0.25">
      <c r="A1223" s="5">
        <f t="shared" si="93"/>
        <v>2017</v>
      </c>
      <c r="B1223" s="5">
        <f t="shared" si="94"/>
        <v>20</v>
      </c>
      <c r="C1223" s="6">
        <v>42874</v>
      </c>
      <c r="D1223" s="7">
        <v>2444</v>
      </c>
    </row>
    <row r="1224" spans="1:4" x14ac:dyDescent="0.25">
      <c r="A1224" s="5">
        <f t="shared" si="93"/>
        <v>2017</v>
      </c>
      <c r="B1224" s="5">
        <f t="shared" si="94"/>
        <v>21</v>
      </c>
      <c r="C1224" s="6">
        <v>42881</v>
      </c>
      <c r="D1224" s="7">
        <v>2525</v>
      </c>
    </row>
    <row r="1225" spans="1:4" x14ac:dyDescent="0.25">
      <c r="A1225" s="5">
        <f t="shared" si="93"/>
        <v>2017</v>
      </c>
      <c r="B1225" s="5">
        <f t="shared" si="94"/>
        <v>22</v>
      </c>
      <c r="C1225" s="6">
        <v>42888</v>
      </c>
      <c r="D1225" s="7">
        <v>2631</v>
      </c>
    </row>
    <row r="1226" spans="1:4" x14ac:dyDescent="0.25">
      <c r="A1226" s="5">
        <f t="shared" si="93"/>
        <v>2017</v>
      </c>
      <c r="B1226" s="5">
        <f t="shared" si="94"/>
        <v>23</v>
      </c>
      <c r="C1226" s="6">
        <v>42895</v>
      </c>
      <c r="D1226" s="7">
        <v>2709</v>
      </c>
    </row>
    <row r="1227" spans="1:4" x14ac:dyDescent="0.25">
      <c r="A1227" s="5">
        <f t="shared" si="93"/>
        <v>2017</v>
      </c>
      <c r="B1227" s="5">
        <f t="shared" si="94"/>
        <v>24</v>
      </c>
      <c r="C1227" s="6">
        <v>42902</v>
      </c>
      <c r="D1227" s="7">
        <v>2770</v>
      </c>
    </row>
    <row r="1228" spans="1:4" x14ac:dyDescent="0.25">
      <c r="A1228" s="5">
        <f t="shared" si="93"/>
        <v>2017</v>
      </c>
      <c r="B1228" s="5">
        <f t="shared" si="94"/>
        <v>25</v>
      </c>
      <c r="C1228" s="6">
        <v>42909</v>
      </c>
      <c r="D1228" s="7">
        <v>2816</v>
      </c>
    </row>
    <row r="1229" spans="1:4" x14ac:dyDescent="0.25">
      <c r="A1229" s="5">
        <f t="shared" si="93"/>
        <v>2017</v>
      </c>
      <c r="B1229" s="5">
        <f t="shared" si="94"/>
        <v>26</v>
      </c>
      <c r="C1229" s="6">
        <v>42916</v>
      </c>
      <c r="D1229" s="7">
        <v>2878</v>
      </c>
    </row>
    <row r="1230" spans="1:4" x14ac:dyDescent="0.25">
      <c r="A1230" s="5">
        <f t="shared" si="93"/>
        <v>2017</v>
      </c>
      <c r="B1230" s="5">
        <f t="shared" si="94"/>
        <v>27</v>
      </c>
      <c r="C1230" s="6">
        <v>42923</v>
      </c>
      <c r="D1230" s="7">
        <v>2936</v>
      </c>
    </row>
    <row r="1231" spans="1:4" x14ac:dyDescent="0.25">
      <c r="A1231" s="5">
        <f t="shared" si="93"/>
        <v>2017</v>
      </c>
      <c r="B1231" s="5">
        <f t="shared" si="94"/>
        <v>28</v>
      </c>
      <c r="C1231" s="6">
        <v>42930</v>
      </c>
      <c r="D1231" s="7">
        <v>2963</v>
      </c>
    </row>
    <row r="1232" spans="1:4" x14ac:dyDescent="0.25">
      <c r="A1232" s="5">
        <f t="shared" si="93"/>
        <v>2017</v>
      </c>
      <c r="B1232" s="5">
        <f t="shared" si="94"/>
        <v>29</v>
      </c>
      <c r="C1232" s="6">
        <v>42937</v>
      </c>
      <c r="D1232" s="7">
        <v>2980</v>
      </c>
    </row>
    <row r="1233" spans="1:4" x14ac:dyDescent="0.25">
      <c r="A1233" s="5">
        <f t="shared" si="93"/>
        <v>2017</v>
      </c>
      <c r="B1233" s="5">
        <f t="shared" si="94"/>
        <v>30</v>
      </c>
      <c r="C1233" s="6">
        <v>42944</v>
      </c>
      <c r="D1233" s="7">
        <v>2999</v>
      </c>
    </row>
    <row r="1234" spans="1:4" x14ac:dyDescent="0.25">
      <c r="A1234" s="5">
        <f t="shared" si="93"/>
        <v>2017</v>
      </c>
      <c r="B1234" s="5">
        <f t="shared" si="94"/>
        <v>31</v>
      </c>
      <c r="C1234" s="6">
        <v>42951</v>
      </c>
      <c r="D1234" s="7">
        <v>3029</v>
      </c>
    </row>
    <row r="1235" spans="1:4" x14ac:dyDescent="0.25">
      <c r="A1235" s="5">
        <f t="shared" si="93"/>
        <v>2017</v>
      </c>
      <c r="B1235" s="5">
        <f t="shared" si="94"/>
        <v>32</v>
      </c>
      <c r="C1235" s="6">
        <v>42958</v>
      </c>
      <c r="D1235" s="7">
        <v>3082</v>
      </c>
    </row>
    <row r="1236" spans="1:4" x14ac:dyDescent="0.25">
      <c r="A1236" s="5">
        <f t="shared" si="93"/>
        <v>2017</v>
      </c>
      <c r="B1236" s="5">
        <f t="shared" si="94"/>
        <v>33</v>
      </c>
      <c r="C1236" s="6">
        <v>42965</v>
      </c>
      <c r="D1236" s="7">
        <v>3125</v>
      </c>
    </row>
    <row r="1237" spans="1:4" x14ac:dyDescent="0.25">
      <c r="A1237" s="5">
        <f t="shared" si="93"/>
        <v>2017</v>
      </c>
      <c r="B1237" s="5">
        <f t="shared" si="94"/>
        <v>34</v>
      </c>
      <c r="C1237" s="6">
        <v>42972</v>
      </c>
      <c r="D1237" s="7">
        <v>3155</v>
      </c>
    </row>
    <row r="1238" spans="1:4" x14ac:dyDescent="0.25">
      <c r="A1238" s="5">
        <f t="shared" si="93"/>
        <v>2017</v>
      </c>
      <c r="B1238" s="5">
        <f t="shared" si="94"/>
        <v>35</v>
      </c>
      <c r="C1238" s="6">
        <v>42979</v>
      </c>
      <c r="D1238" s="7">
        <v>3220</v>
      </c>
    </row>
    <row r="1239" spans="1:4" x14ac:dyDescent="0.25">
      <c r="A1239" s="5">
        <f t="shared" si="93"/>
        <v>2017</v>
      </c>
      <c r="B1239" s="5">
        <f t="shared" si="94"/>
        <v>36</v>
      </c>
      <c r="C1239" s="6">
        <v>42986</v>
      </c>
      <c r="D1239" s="7">
        <v>3311</v>
      </c>
    </row>
    <row r="1240" spans="1:4" x14ac:dyDescent="0.25">
      <c r="A1240" s="5">
        <f t="shared" si="93"/>
        <v>2017</v>
      </c>
      <c r="B1240" s="5">
        <f t="shared" si="94"/>
        <v>37</v>
      </c>
      <c r="C1240" s="6">
        <v>42993</v>
      </c>
      <c r="D1240" s="7">
        <v>3408</v>
      </c>
    </row>
    <row r="1241" spans="1:4" x14ac:dyDescent="0.25">
      <c r="A1241" s="5">
        <f t="shared" si="93"/>
        <v>2017</v>
      </c>
      <c r="B1241" s="5">
        <f t="shared" si="94"/>
        <v>38</v>
      </c>
      <c r="C1241" s="6">
        <v>43000</v>
      </c>
      <c r="D1241" s="7">
        <v>3466</v>
      </c>
    </row>
    <row r="1242" spans="1:4" x14ac:dyDescent="0.25">
      <c r="A1242" s="5">
        <f t="shared" si="93"/>
        <v>2017</v>
      </c>
      <c r="B1242" s="5">
        <f t="shared" si="94"/>
        <v>39</v>
      </c>
      <c r="C1242" s="6">
        <v>43007</v>
      </c>
      <c r="D1242" s="7">
        <v>3508</v>
      </c>
    </row>
    <row r="1243" spans="1:4" x14ac:dyDescent="0.25">
      <c r="A1243" s="5">
        <f t="shared" si="93"/>
        <v>2017</v>
      </c>
      <c r="B1243" s="5">
        <f t="shared" si="94"/>
        <v>40</v>
      </c>
      <c r="C1243" s="6">
        <v>43014</v>
      </c>
      <c r="D1243" s="7">
        <v>3595</v>
      </c>
    </row>
    <row r="1244" spans="1:4" x14ac:dyDescent="0.25">
      <c r="A1244" s="5">
        <f t="shared" si="93"/>
        <v>2017</v>
      </c>
      <c r="B1244" s="5">
        <f t="shared" si="94"/>
        <v>41</v>
      </c>
      <c r="C1244" s="6">
        <v>43021</v>
      </c>
      <c r="D1244" s="7">
        <v>3645</v>
      </c>
    </row>
    <row r="1245" spans="1:4" x14ac:dyDescent="0.25">
      <c r="A1245" s="5">
        <f t="shared" si="93"/>
        <v>2017</v>
      </c>
      <c r="B1245" s="5">
        <f t="shared" si="94"/>
        <v>42</v>
      </c>
      <c r="C1245" s="6">
        <v>43028</v>
      </c>
      <c r="D1245" s="7">
        <v>3710</v>
      </c>
    </row>
    <row r="1246" spans="1:4" x14ac:dyDescent="0.25">
      <c r="A1246" s="5">
        <f t="shared" si="93"/>
        <v>2017</v>
      </c>
      <c r="B1246" s="5">
        <f t="shared" si="94"/>
        <v>43</v>
      </c>
      <c r="C1246" s="6">
        <v>43035</v>
      </c>
      <c r="D1246" s="7">
        <v>3775</v>
      </c>
    </row>
    <row r="1247" spans="1:4" x14ac:dyDescent="0.25">
      <c r="A1247" s="5">
        <f t="shared" si="93"/>
        <v>2017</v>
      </c>
      <c r="B1247" s="5">
        <f t="shared" si="94"/>
        <v>44</v>
      </c>
      <c r="C1247" s="6">
        <v>43042</v>
      </c>
      <c r="D1247" s="7">
        <v>3790</v>
      </c>
    </row>
    <row r="1248" spans="1:4" x14ac:dyDescent="0.25">
      <c r="A1248" s="5">
        <f t="shared" si="93"/>
        <v>2017</v>
      </c>
      <c r="B1248" s="5">
        <f t="shared" si="94"/>
        <v>45</v>
      </c>
      <c r="C1248" s="6">
        <v>43049</v>
      </c>
      <c r="D1248" s="7">
        <v>3772</v>
      </c>
    </row>
    <row r="1249" spans="1:4" x14ac:dyDescent="0.25">
      <c r="A1249" s="5">
        <f t="shared" si="93"/>
        <v>2017</v>
      </c>
      <c r="B1249" s="5">
        <f t="shared" si="94"/>
        <v>46</v>
      </c>
      <c r="C1249" s="6">
        <v>43056</v>
      </c>
      <c r="D1249" s="7">
        <v>3726</v>
      </c>
    </row>
    <row r="1250" spans="1:4" x14ac:dyDescent="0.25">
      <c r="A1250" s="5">
        <f t="shared" si="93"/>
        <v>2017</v>
      </c>
      <c r="B1250" s="5">
        <f t="shared" si="94"/>
        <v>47</v>
      </c>
      <c r="C1250" s="6">
        <v>43063</v>
      </c>
      <c r="D1250" s="7">
        <v>3693</v>
      </c>
    </row>
    <row r="1251" spans="1:4" x14ac:dyDescent="0.25">
      <c r="A1251" s="5">
        <f t="shared" si="93"/>
        <v>2017</v>
      </c>
      <c r="B1251" s="5">
        <f t="shared" si="94"/>
        <v>48</v>
      </c>
      <c r="C1251" s="6">
        <v>43070</v>
      </c>
      <c r="D1251" s="7">
        <v>3695</v>
      </c>
    </row>
    <row r="1252" spans="1:4" x14ac:dyDescent="0.25">
      <c r="A1252" s="5">
        <f t="shared" si="93"/>
        <v>2017</v>
      </c>
      <c r="B1252" s="5">
        <f t="shared" si="94"/>
        <v>49</v>
      </c>
      <c r="C1252" s="6">
        <v>43077</v>
      </c>
      <c r="D1252" s="7">
        <v>3626</v>
      </c>
    </row>
    <row r="1253" spans="1:4" x14ac:dyDescent="0.25">
      <c r="A1253" s="5">
        <f t="shared" si="93"/>
        <v>2017</v>
      </c>
      <c r="B1253" s="5">
        <f t="shared" si="94"/>
        <v>50</v>
      </c>
      <c r="C1253" s="6">
        <v>43084</v>
      </c>
      <c r="D1253" s="7">
        <v>3444</v>
      </c>
    </row>
    <row r="1254" spans="1:4" x14ac:dyDescent="0.25">
      <c r="A1254" s="5">
        <f t="shared" si="93"/>
        <v>2017</v>
      </c>
      <c r="B1254" s="5">
        <f t="shared" si="94"/>
        <v>51</v>
      </c>
      <c r="C1254" s="6">
        <v>43091</v>
      </c>
      <c r="D1254" s="7">
        <v>3332</v>
      </c>
    </row>
    <row r="1255" spans="1:4" x14ac:dyDescent="0.25">
      <c r="A1255" s="5">
        <f t="shared" si="93"/>
        <v>2017</v>
      </c>
      <c r="B1255" s="5">
        <f t="shared" si="94"/>
        <v>52</v>
      </c>
      <c r="C1255" s="6">
        <v>43098</v>
      </c>
      <c r="D1255" s="7">
        <v>3126</v>
      </c>
    </row>
    <row r="1256" spans="1:4" x14ac:dyDescent="0.25">
      <c r="A1256" s="5">
        <f t="shared" si="93"/>
        <v>2018</v>
      </c>
      <c r="B1256" s="5">
        <f t="shared" si="94"/>
        <v>1</v>
      </c>
      <c r="C1256" s="6">
        <v>43105</v>
      </c>
      <c r="D1256" s="7">
        <v>2767</v>
      </c>
    </row>
    <row r="1257" spans="1:4" x14ac:dyDescent="0.25">
      <c r="A1257" s="5">
        <f t="shared" si="93"/>
        <v>2018</v>
      </c>
      <c r="B1257" s="5">
        <f t="shared" si="94"/>
        <v>2</v>
      </c>
      <c r="C1257" s="6">
        <v>43112</v>
      </c>
      <c r="D1257" s="7">
        <v>2584</v>
      </c>
    </row>
    <row r="1258" spans="1:4" x14ac:dyDescent="0.25">
      <c r="A1258" s="5">
        <f t="shared" si="93"/>
        <v>2018</v>
      </c>
      <c r="B1258" s="5">
        <f t="shared" si="94"/>
        <v>3</v>
      </c>
      <c r="C1258" s="6">
        <v>43119</v>
      </c>
      <c r="D1258" s="7">
        <v>2296</v>
      </c>
    </row>
    <row r="1259" spans="1:4" x14ac:dyDescent="0.25">
      <c r="A1259" s="5">
        <f t="shared" si="93"/>
        <v>2018</v>
      </c>
      <c r="B1259" s="5">
        <f t="shared" si="94"/>
        <v>4</v>
      </c>
      <c r="C1259" s="6">
        <v>43126</v>
      </c>
      <c r="D1259" s="7">
        <v>2197</v>
      </c>
    </row>
    <row r="1260" spans="1:4" x14ac:dyDescent="0.25">
      <c r="A1260" s="5">
        <f t="shared" si="93"/>
        <v>2018</v>
      </c>
      <c r="B1260" s="5">
        <f t="shared" si="94"/>
        <v>5</v>
      </c>
      <c r="C1260" s="6">
        <v>43133</v>
      </c>
      <c r="D1260" s="7">
        <v>2078</v>
      </c>
    </row>
    <row r="1261" spans="1:4" x14ac:dyDescent="0.25">
      <c r="A1261" s="5">
        <f t="shared" si="93"/>
        <v>2018</v>
      </c>
      <c r="B1261" s="5">
        <f t="shared" si="94"/>
        <v>6</v>
      </c>
      <c r="C1261" s="6">
        <v>43140</v>
      </c>
      <c r="D1261" s="7">
        <v>1884</v>
      </c>
    </row>
    <row r="1262" spans="1:4" x14ac:dyDescent="0.25">
      <c r="A1262" s="5">
        <f t="shared" si="93"/>
        <v>2018</v>
      </c>
      <c r="B1262" s="5">
        <f t="shared" si="94"/>
        <v>7</v>
      </c>
      <c r="C1262" s="6">
        <v>43147</v>
      </c>
      <c r="D1262" s="7">
        <v>1760</v>
      </c>
    </row>
    <row r="1263" spans="1:4" x14ac:dyDescent="0.25">
      <c r="A1263" s="5">
        <f t="shared" si="93"/>
        <v>2018</v>
      </c>
      <c r="B1263" s="5">
        <f t="shared" si="94"/>
        <v>8</v>
      </c>
      <c r="C1263" s="6">
        <v>43154</v>
      </c>
      <c r="D1263" s="7">
        <v>1682</v>
      </c>
    </row>
    <row r="1264" spans="1:4" x14ac:dyDescent="0.25">
      <c r="A1264" s="5">
        <f t="shared" si="93"/>
        <v>2018</v>
      </c>
      <c r="B1264" s="5">
        <f t="shared" si="94"/>
        <v>9</v>
      </c>
      <c r="C1264" s="6">
        <v>43161</v>
      </c>
      <c r="D1264" s="7">
        <v>1625</v>
      </c>
    </row>
    <row r="1265" spans="1:4" x14ac:dyDescent="0.25">
      <c r="A1265" s="5">
        <f t="shared" si="93"/>
        <v>2018</v>
      </c>
      <c r="B1265" s="5">
        <f t="shared" si="94"/>
        <v>10</v>
      </c>
      <c r="C1265" s="6">
        <v>43168</v>
      </c>
      <c r="D1265" s="7">
        <v>1532</v>
      </c>
    </row>
    <row r="1266" spans="1:4" x14ac:dyDescent="0.25">
      <c r="A1266" s="5">
        <f t="shared" si="93"/>
        <v>2018</v>
      </c>
      <c r="B1266" s="5">
        <f t="shared" si="94"/>
        <v>11</v>
      </c>
      <c r="C1266" s="6">
        <v>43175</v>
      </c>
      <c r="D1266" s="7">
        <v>1446</v>
      </c>
    </row>
    <row r="1267" spans="1:4" x14ac:dyDescent="0.25">
      <c r="A1267" s="5">
        <f t="shared" si="93"/>
        <v>2018</v>
      </c>
      <c r="B1267" s="5">
        <f t="shared" si="94"/>
        <v>12</v>
      </c>
      <c r="C1267" s="6">
        <v>43182</v>
      </c>
      <c r="D1267" s="7">
        <v>1383</v>
      </c>
    </row>
    <row r="1268" spans="1:4" x14ac:dyDescent="0.25">
      <c r="A1268" s="5">
        <f t="shared" si="93"/>
        <v>2018</v>
      </c>
      <c r="B1268" s="5">
        <f t="shared" si="94"/>
        <v>13</v>
      </c>
      <c r="C1268" s="6">
        <v>43189</v>
      </c>
      <c r="D1268" s="7">
        <v>1354</v>
      </c>
    </row>
    <row r="1269" spans="1:4" x14ac:dyDescent="0.25">
      <c r="A1269" s="5">
        <f t="shared" si="93"/>
        <v>2018</v>
      </c>
      <c r="B1269" s="5">
        <f t="shared" si="94"/>
        <v>14</v>
      </c>
      <c r="C1269" s="6">
        <v>43196</v>
      </c>
      <c r="D1269" s="7">
        <v>1335</v>
      </c>
    </row>
    <row r="1270" spans="1:4" x14ac:dyDescent="0.25">
      <c r="A1270" s="5">
        <f t="shared" si="93"/>
        <v>2018</v>
      </c>
      <c r="B1270" s="5">
        <f t="shared" si="94"/>
        <v>15</v>
      </c>
      <c r="C1270" s="6">
        <v>43203</v>
      </c>
      <c r="D1270" s="7">
        <v>1299</v>
      </c>
    </row>
    <row r="1271" spans="1:4" x14ac:dyDescent="0.25">
      <c r="A1271" s="5">
        <f t="shared" si="93"/>
        <v>2018</v>
      </c>
      <c r="B1271" s="5">
        <f t="shared" si="94"/>
        <v>16</v>
      </c>
      <c r="C1271" s="6">
        <v>43210</v>
      </c>
      <c r="D1271" s="7">
        <v>1281</v>
      </c>
    </row>
    <row r="1272" spans="1:4" x14ac:dyDescent="0.25">
      <c r="A1272" s="5">
        <f t="shared" si="93"/>
        <v>2018</v>
      </c>
      <c r="B1272" s="5">
        <f t="shared" si="94"/>
        <v>17</v>
      </c>
      <c r="C1272" s="6">
        <v>43217</v>
      </c>
      <c r="D1272" s="7">
        <v>1343</v>
      </c>
    </row>
    <row r="1273" spans="1:4" x14ac:dyDescent="0.25">
      <c r="A1273" s="5">
        <f t="shared" si="93"/>
        <v>2018</v>
      </c>
      <c r="B1273" s="5">
        <f t="shared" si="94"/>
        <v>18</v>
      </c>
      <c r="C1273" s="6">
        <v>43224</v>
      </c>
      <c r="D1273" s="7">
        <v>1432</v>
      </c>
    </row>
    <row r="1274" spans="1:4" x14ac:dyDescent="0.25">
      <c r="A1274" s="5">
        <f t="shared" si="93"/>
        <v>2018</v>
      </c>
      <c r="B1274" s="5">
        <f t="shared" si="94"/>
        <v>19</v>
      </c>
      <c r="C1274" s="6">
        <v>43231</v>
      </c>
      <c r="D1274" s="7">
        <v>1538</v>
      </c>
    </row>
    <row r="1275" spans="1:4" x14ac:dyDescent="0.25">
      <c r="A1275" s="5">
        <f t="shared" si="93"/>
        <v>2018</v>
      </c>
      <c r="B1275" s="5">
        <f t="shared" si="94"/>
        <v>20</v>
      </c>
      <c r="C1275" s="6">
        <v>43238</v>
      </c>
      <c r="D1275" s="7">
        <v>1629</v>
      </c>
    </row>
    <row r="1276" spans="1:4" x14ac:dyDescent="0.25">
      <c r="A1276" s="5">
        <f t="shared" si="93"/>
        <v>2018</v>
      </c>
      <c r="B1276" s="5">
        <f t="shared" si="94"/>
        <v>21</v>
      </c>
      <c r="C1276" s="6">
        <v>43245</v>
      </c>
      <c r="D1276" s="7">
        <v>1725</v>
      </c>
    </row>
    <row r="1277" spans="1:4" x14ac:dyDescent="0.25">
      <c r="A1277" s="5">
        <f t="shared" ref="A1277:A1340" si="95">YEAR(C1277)</f>
        <v>2018</v>
      </c>
      <c r="B1277" s="5">
        <f t="shared" ref="B1277:B1340" si="96">WEEKNUM(C1277)</f>
        <v>22</v>
      </c>
      <c r="C1277" s="6">
        <v>43252</v>
      </c>
      <c r="D1277" s="7">
        <v>1817</v>
      </c>
    </row>
    <row r="1278" spans="1:4" x14ac:dyDescent="0.25">
      <c r="A1278" s="5">
        <f t="shared" si="95"/>
        <v>2018</v>
      </c>
      <c r="B1278" s="5">
        <f t="shared" si="96"/>
        <v>23</v>
      </c>
      <c r="C1278" s="6">
        <v>43259</v>
      </c>
      <c r="D1278" s="7">
        <v>1913</v>
      </c>
    </row>
    <row r="1279" spans="1:4" x14ac:dyDescent="0.25">
      <c r="A1279" s="5">
        <f t="shared" si="95"/>
        <v>2018</v>
      </c>
      <c r="B1279" s="5">
        <f t="shared" si="96"/>
        <v>24</v>
      </c>
      <c r="C1279" s="6">
        <v>43266</v>
      </c>
      <c r="D1279" s="7">
        <v>2008</v>
      </c>
    </row>
    <row r="1280" spans="1:4" x14ac:dyDescent="0.25">
      <c r="A1280" s="5">
        <f t="shared" si="95"/>
        <v>2018</v>
      </c>
      <c r="B1280" s="5">
        <f t="shared" si="96"/>
        <v>25</v>
      </c>
      <c r="C1280" s="6">
        <v>43273</v>
      </c>
      <c r="D1280" s="7">
        <v>2074</v>
      </c>
    </row>
    <row r="1281" spans="1:4" x14ac:dyDescent="0.25">
      <c r="A1281" s="5">
        <f t="shared" si="95"/>
        <v>2018</v>
      </c>
      <c r="B1281" s="5">
        <f t="shared" si="96"/>
        <v>26</v>
      </c>
      <c r="C1281" s="6">
        <v>43280</v>
      </c>
      <c r="D1281" s="7">
        <v>2152</v>
      </c>
    </row>
    <row r="1282" spans="1:4" x14ac:dyDescent="0.25">
      <c r="A1282" s="5">
        <f t="shared" si="95"/>
        <v>2018</v>
      </c>
      <c r="B1282" s="5">
        <f t="shared" si="96"/>
        <v>27</v>
      </c>
      <c r="C1282" s="6">
        <v>43287</v>
      </c>
      <c r="D1282" s="7">
        <v>2203</v>
      </c>
    </row>
    <row r="1283" spans="1:4" x14ac:dyDescent="0.25">
      <c r="A1283" s="5">
        <f t="shared" si="95"/>
        <v>2018</v>
      </c>
      <c r="B1283" s="5">
        <f t="shared" si="96"/>
        <v>28</v>
      </c>
      <c r="C1283" s="6">
        <v>43294</v>
      </c>
      <c r="D1283" s="7">
        <v>2248</v>
      </c>
    </row>
    <row r="1284" spans="1:4" x14ac:dyDescent="0.25">
      <c r="A1284" s="5">
        <f t="shared" si="95"/>
        <v>2018</v>
      </c>
      <c r="B1284" s="5">
        <f t="shared" si="96"/>
        <v>29</v>
      </c>
      <c r="C1284" s="6">
        <v>43301</v>
      </c>
      <c r="D1284" s="7">
        <v>2272</v>
      </c>
    </row>
    <row r="1285" spans="1:4" x14ac:dyDescent="0.25">
      <c r="A1285" s="5">
        <f t="shared" si="95"/>
        <v>2018</v>
      </c>
      <c r="B1285" s="5">
        <f t="shared" si="96"/>
        <v>30</v>
      </c>
      <c r="C1285" s="6">
        <v>43308</v>
      </c>
      <c r="D1285" s="7">
        <v>2305</v>
      </c>
    </row>
    <row r="1286" spans="1:4" x14ac:dyDescent="0.25">
      <c r="A1286" s="5">
        <f t="shared" si="95"/>
        <v>2018</v>
      </c>
      <c r="B1286" s="5">
        <f t="shared" si="96"/>
        <v>31</v>
      </c>
      <c r="C1286" s="6">
        <v>43315</v>
      </c>
      <c r="D1286" s="7">
        <v>2353</v>
      </c>
    </row>
    <row r="1287" spans="1:4" x14ac:dyDescent="0.25">
      <c r="A1287" s="5">
        <f t="shared" si="95"/>
        <v>2018</v>
      </c>
      <c r="B1287" s="5">
        <f t="shared" si="96"/>
        <v>32</v>
      </c>
      <c r="C1287" s="6">
        <v>43322</v>
      </c>
      <c r="D1287" s="7">
        <v>2386</v>
      </c>
    </row>
    <row r="1288" spans="1:4" x14ac:dyDescent="0.25">
      <c r="A1288" s="5">
        <f t="shared" si="95"/>
        <v>2018</v>
      </c>
      <c r="B1288" s="5">
        <f t="shared" si="96"/>
        <v>33</v>
      </c>
      <c r="C1288" s="6">
        <v>43329</v>
      </c>
      <c r="D1288" s="7">
        <v>2435</v>
      </c>
    </row>
    <row r="1289" spans="1:4" x14ac:dyDescent="0.25">
      <c r="A1289" s="5">
        <f t="shared" si="95"/>
        <v>2018</v>
      </c>
      <c r="B1289" s="5">
        <f t="shared" si="96"/>
        <v>34</v>
      </c>
      <c r="C1289" s="6">
        <v>43336</v>
      </c>
      <c r="D1289" s="7">
        <v>2504</v>
      </c>
    </row>
    <row r="1290" spans="1:4" x14ac:dyDescent="0.25">
      <c r="A1290" s="5">
        <f t="shared" si="95"/>
        <v>2018</v>
      </c>
      <c r="B1290" s="5">
        <f t="shared" si="96"/>
        <v>35</v>
      </c>
      <c r="C1290" s="6">
        <v>43343</v>
      </c>
      <c r="D1290" s="7">
        <v>2567</v>
      </c>
    </row>
    <row r="1291" spans="1:4" x14ac:dyDescent="0.25">
      <c r="A1291" s="5">
        <f t="shared" si="95"/>
        <v>2018</v>
      </c>
      <c r="B1291" s="5">
        <f t="shared" si="96"/>
        <v>36</v>
      </c>
      <c r="C1291" s="6">
        <v>43350</v>
      </c>
      <c r="D1291" s="7">
        <v>2636</v>
      </c>
    </row>
    <row r="1292" spans="1:4" x14ac:dyDescent="0.25">
      <c r="A1292" s="5">
        <f t="shared" si="95"/>
        <v>2018</v>
      </c>
      <c r="B1292" s="5">
        <f t="shared" si="96"/>
        <v>37</v>
      </c>
      <c r="C1292" s="6">
        <v>43357</v>
      </c>
      <c r="D1292" s="7">
        <v>2722</v>
      </c>
    </row>
    <row r="1293" spans="1:4" x14ac:dyDescent="0.25">
      <c r="A1293" s="5">
        <f t="shared" si="95"/>
        <v>2018</v>
      </c>
      <c r="B1293" s="5">
        <f t="shared" si="96"/>
        <v>38</v>
      </c>
      <c r="C1293" s="6">
        <v>43364</v>
      </c>
      <c r="D1293" s="7">
        <v>2768</v>
      </c>
    </row>
    <row r="1294" spans="1:4" x14ac:dyDescent="0.25">
      <c r="A1294" s="5">
        <f t="shared" si="95"/>
        <v>2018</v>
      </c>
      <c r="B1294" s="5">
        <f t="shared" si="96"/>
        <v>39</v>
      </c>
      <c r="C1294" s="6">
        <v>43371</v>
      </c>
      <c r="D1294" s="7">
        <v>2866</v>
      </c>
    </row>
    <row r="1295" spans="1:4" x14ac:dyDescent="0.25">
      <c r="A1295" s="5">
        <f t="shared" si="95"/>
        <v>2018</v>
      </c>
      <c r="B1295" s="5">
        <f t="shared" si="96"/>
        <v>40</v>
      </c>
      <c r="C1295" s="6">
        <v>43378</v>
      </c>
      <c r="D1295" s="7">
        <v>2956</v>
      </c>
    </row>
    <row r="1296" spans="1:4" x14ac:dyDescent="0.25">
      <c r="A1296" s="5">
        <f t="shared" si="95"/>
        <v>2018</v>
      </c>
      <c r="B1296" s="5">
        <f t="shared" si="96"/>
        <v>41</v>
      </c>
      <c r="C1296" s="6">
        <v>43385</v>
      </c>
      <c r="D1296" s="7">
        <v>3037</v>
      </c>
    </row>
    <row r="1297" spans="1:4" x14ac:dyDescent="0.25">
      <c r="A1297" s="5">
        <f t="shared" si="95"/>
        <v>2018</v>
      </c>
      <c r="B1297" s="5">
        <f t="shared" si="96"/>
        <v>42</v>
      </c>
      <c r="C1297" s="6">
        <v>43392</v>
      </c>
      <c r="D1297" s="7">
        <v>3095</v>
      </c>
    </row>
    <row r="1298" spans="1:4" x14ac:dyDescent="0.25">
      <c r="A1298" s="5">
        <f t="shared" si="95"/>
        <v>2018</v>
      </c>
      <c r="B1298" s="5">
        <f t="shared" si="96"/>
        <v>43</v>
      </c>
      <c r="C1298" s="6">
        <v>43399</v>
      </c>
      <c r="D1298" s="7">
        <v>3143</v>
      </c>
    </row>
    <row r="1299" spans="1:4" x14ac:dyDescent="0.25">
      <c r="A1299" s="5">
        <f t="shared" si="95"/>
        <v>2018</v>
      </c>
      <c r="B1299" s="5">
        <f t="shared" si="96"/>
        <v>44</v>
      </c>
      <c r="C1299" s="6">
        <v>43406</v>
      </c>
      <c r="D1299" s="7">
        <v>3208</v>
      </c>
    </row>
    <row r="1300" spans="1:4" x14ac:dyDescent="0.25">
      <c r="A1300" s="5">
        <f t="shared" si="95"/>
        <v>2018</v>
      </c>
      <c r="B1300" s="5">
        <f t="shared" si="96"/>
        <v>45</v>
      </c>
      <c r="C1300" s="6">
        <v>43413</v>
      </c>
      <c r="D1300" s="7">
        <v>3247</v>
      </c>
    </row>
    <row r="1301" spans="1:4" x14ac:dyDescent="0.25">
      <c r="A1301" s="5">
        <f t="shared" si="95"/>
        <v>2018</v>
      </c>
      <c r="B1301" s="5">
        <f t="shared" si="96"/>
        <v>46</v>
      </c>
      <c r="C1301" s="6">
        <v>43420</v>
      </c>
      <c r="D1301" s="7">
        <v>3113</v>
      </c>
    </row>
    <row r="1302" spans="1:4" x14ac:dyDescent="0.25">
      <c r="A1302" s="5">
        <f t="shared" si="95"/>
        <v>2018</v>
      </c>
      <c r="B1302" s="5">
        <f t="shared" si="96"/>
        <v>47</v>
      </c>
      <c r="C1302" s="6">
        <v>43427</v>
      </c>
      <c r="D1302" s="7">
        <v>3054</v>
      </c>
    </row>
    <row r="1303" spans="1:4" x14ac:dyDescent="0.25">
      <c r="A1303" s="5">
        <f t="shared" si="95"/>
        <v>2018</v>
      </c>
      <c r="B1303" s="5">
        <f t="shared" si="96"/>
        <v>48</v>
      </c>
      <c r="C1303" s="6">
        <v>43434</v>
      </c>
      <c r="D1303" s="7">
        <v>2991</v>
      </c>
    </row>
    <row r="1304" spans="1:4" x14ac:dyDescent="0.25">
      <c r="A1304" s="5">
        <f t="shared" si="95"/>
        <v>2018</v>
      </c>
      <c r="B1304" s="5">
        <f t="shared" si="96"/>
        <v>49</v>
      </c>
      <c r="C1304" s="6">
        <v>43441</v>
      </c>
      <c r="D1304" s="7">
        <v>2914</v>
      </c>
    </row>
    <row r="1305" spans="1:4" x14ac:dyDescent="0.25">
      <c r="A1305" s="5">
        <f t="shared" si="95"/>
        <v>2018</v>
      </c>
      <c r="B1305" s="5">
        <f t="shared" si="96"/>
        <v>50</v>
      </c>
      <c r="C1305" s="6">
        <v>43448</v>
      </c>
      <c r="D1305" s="7">
        <v>2773</v>
      </c>
    </row>
    <row r="1306" spans="1:4" x14ac:dyDescent="0.25">
      <c r="A1306" s="5">
        <f t="shared" si="95"/>
        <v>2018</v>
      </c>
      <c r="B1306" s="5">
        <f t="shared" si="96"/>
        <v>51</v>
      </c>
      <c r="C1306" s="6">
        <v>43455</v>
      </c>
      <c r="D1306" s="7">
        <v>2725</v>
      </c>
    </row>
    <row r="1307" spans="1:4" x14ac:dyDescent="0.25">
      <c r="A1307" s="5">
        <f t="shared" si="95"/>
        <v>2018</v>
      </c>
      <c r="B1307" s="5">
        <f t="shared" si="96"/>
        <v>52</v>
      </c>
      <c r="C1307" s="6">
        <v>43462</v>
      </c>
      <c r="D1307" s="7">
        <v>2705</v>
      </c>
    </row>
    <row r="1308" spans="1:4" x14ac:dyDescent="0.25">
      <c r="A1308" s="5">
        <f t="shared" si="95"/>
        <v>2019</v>
      </c>
      <c r="B1308" s="5">
        <f t="shared" si="96"/>
        <v>1</v>
      </c>
      <c r="C1308" s="6">
        <v>43469</v>
      </c>
      <c r="D1308" s="7">
        <v>2614</v>
      </c>
    </row>
    <row r="1309" spans="1:4" x14ac:dyDescent="0.25">
      <c r="A1309" s="5">
        <f t="shared" si="95"/>
        <v>2019</v>
      </c>
      <c r="B1309" s="5">
        <f t="shared" si="96"/>
        <v>2</v>
      </c>
      <c r="C1309" s="6">
        <v>43476</v>
      </c>
      <c r="D1309" s="7">
        <v>2533</v>
      </c>
    </row>
    <row r="1310" spans="1:4" x14ac:dyDescent="0.25">
      <c r="A1310" s="5">
        <f t="shared" si="95"/>
        <v>2019</v>
      </c>
      <c r="B1310" s="5">
        <f t="shared" si="96"/>
        <v>3</v>
      </c>
      <c r="C1310" s="6">
        <v>43483</v>
      </c>
      <c r="D1310" s="7">
        <v>2370</v>
      </c>
    </row>
    <row r="1311" spans="1:4" x14ac:dyDescent="0.25">
      <c r="A1311" s="5">
        <f t="shared" si="95"/>
        <v>2019</v>
      </c>
      <c r="B1311" s="5">
        <f t="shared" si="96"/>
        <v>4</v>
      </c>
      <c r="C1311" s="6">
        <v>43490</v>
      </c>
      <c r="D1311" s="7">
        <v>2197</v>
      </c>
    </row>
    <row r="1312" spans="1:4" x14ac:dyDescent="0.25">
      <c r="A1312" s="5">
        <f t="shared" si="95"/>
        <v>2019</v>
      </c>
      <c r="B1312" s="5">
        <f t="shared" si="96"/>
        <v>5</v>
      </c>
      <c r="C1312" s="6">
        <v>43497</v>
      </c>
      <c r="D1312" s="7">
        <v>1960</v>
      </c>
    </row>
    <row r="1313" spans="1:4" x14ac:dyDescent="0.25">
      <c r="A1313" s="5">
        <f t="shared" si="95"/>
        <v>2019</v>
      </c>
      <c r="B1313" s="5">
        <f t="shared" si="96"/>
        <v>6</v>
      </c>
      <c r="C1313" s="6">
        <v>43504</v>
      </c>
      <c r="D1313" s="7">
        <v>1882</v>
      </c>
    </row>
    <row r="1314" spans="1:4" x14ac:dyDescent="0.25">
      <c r="A1314" s="5">
        <f t="shared" si="95"/>
        <v>2019</v>
      </c>
      <c r="B1314" s="5">
        <f t="shared" si="96"/>
        <v>7</v>
      </c>
      <c r="C1314" s="6">
        <v>43511</v>
      </c>
      <c r="D1314" s="7">
        <v>1705</v>
      </c>
    </row>
    <row r="1315" spans="1:4" x14ac:dyDescent="0.25">
      <c r="A1315" s="5">
        <f t="shared" si="95"/>
        <v>2019</v>
      </c>
      <c r="B1315" s="5">
        <f t="shared" si="96"/>
        <v>8</v>
      </c>
      <c r="C1315" s="6">
        <v>43518</v>
      </c>
      <c r="D1315" s="7">
        <v>1539</v>
      </c>
    </row>
    <row r="1316" spans="1:4" x14ac:dyDescent="0.25">
      <c r="A1316" s="5">
        <f t="shared" si="95"/>
        <v>2019</v>
      </c>
      <c r="B1316" s="5">
        <f t="shared" si="96"/>
        <v>9</v>
      </c>
      <c r="C1316" s="6">
        <v>43525</v>
      </c>
      <c r="D1316" s="7">
        <v>1390</v>
      </c>
    </row>
    <row r="1317" spans="1:4" x14ac:dyDescent="0.25">
      <c r="A1317" s="5">
        <f t="shared" si="95"/>
        <v>2019</v>
      </c>
      <c r="B1317" s="5">
        <f t="shared" si="96"/>
        <v>10</v>
      </c>
      <c r="C1317" s="6">
        <v>43532</v>
      </c>
      <c r="D1317" s="7">
        <v>1190</v>
      </c>
    </row>
    <row r="1318" spans="1:4" x14ac:dyDescent="0.25">
      <c r="A1318" s="5">
        <f t="shared" si="95"/>
        <v>2019</v>
      </c>
      <c r="B1318" s="5">
        <f t="shared" si="96"/>
        <v>11</v>
      </c>
      <c r="C1318" s="6">
        <v>43539</v>
      </c>
      <c r="D1318" s="7">
        <v>1143</v>
      </c>
    </row>
    <row r="1319" spans="1:4" x14ac:dyDescent="0.25">
      <c r="A1319" s="5">
        <f t="shared" si="95"/>
        <v>2019</v>
      </c>
      <c r="B1319" s="5">
        <f t="shared" si="96"/>
        <v>12</v>
      </c>
      <c r="C1319" s="6">
        <v>43546</v>
      </c>
      <c r="D1319" s="7">
        <v>1107</v>
      </c>
    </row>
    <row r="1320" spans="1:4" x14ac:dyDescent="0.25">
      <c r="A1320" s="5">
        <f t="shared" si="95"/>
        <v>2019</v>
      </c>
      <c r="B1320" s="5">
        <f t="shared" si="96"/>
        <v>13</v>
      </c>
      <c r="C1320" s="6">
        <v>43553</v>
      </c>
      <c r="D1320" s="7">
        <v>1130</v>
      </c>
    </row>
    <row r="1321" spans="1:4" x14ac:dyDescent="0.25">
      <c r="A1321" s="5">
        <f t="shared" si="95"/>
        <v>2019</v>
      </c>
      <c r="B1321" s="5">
        <f t="shared" si="96"/>
        <v>14</v>
      </c>
      <c r="C1321" s="6">
        <v>43560</v>
      </c>
      <c r="D1321" s="7">
        <v>1155</v>
      </c>
    </row>
    <row r="1322" spans="1:4" x14ac:dyDescent="0.25">
      <c r="A1322" s="5">
        <f t="shared" si="95"/>
        <v>2019</v>
      </c>
      <c r="B1322" s="5">
        <f t="shared" si="96"/>
        <v>15</v>
      </c>
      <c r="C1322" s="6">
        <v>43567</v>
      </c>
      <c r="D1322" s="7">
        <v>1247</v>
      </c>
    </row>
    <row r="1323" spans="1:4" x14ac:dyDescent="0.25">
      <c r="A1323" s="5">
        <f t="shared" si="95"/>
        <v>2019</v>
      </c>
      <c r="B1323" s="5">
        <f t="shared" si="96"/>
        <v>16</v>
      </c>
      <c r="C1323" s="6">
        <v>43574</v>
      </c>
      <c r="D1323" s="7">
        <v>1339</v>
      </c>
    </row>
    <row r="1324" spans="1:4" x14ac:dyDescent="0.25">
      <c r="A1324" s="5">
        <f t="shared" si="95"/>
        <v>2019</v>
      </c>
      <c r="B1324" s="5">
        <f t="shared" si="96"/>
        <v>17</v>
      </c>
      <c r="C1324" s="6">
        <v>43581</v>
      </c>
      <c r="D1324" s="7">
        <v>1462</v>
      </c>
    </row>
    <row r="1325" spans="1:4" x14ac:dyDescent="0.25">
      <c r="A1325" s="5">
        <f t="shared" si="95"/>
        <v>2019</v>
      </c>
      <c r="B1325" s="5">
        <f t="shared" si="96"/>
        <v>18</v>
      </c>
      <c r="C1325" s="6">
        <v>43588</v>
      </c>
      <c r="D1325" s="7">
        <v>1547</v>
      </c>
    </row>
    <row r="1326" spans="1:4" x14ac:dyDescent="0.25">
      <c r="A1326" s="5">
        <f t="shared" si="95"/>
        <v>2019</v>
      </c>
      <c r="B1326" s="5">
        <f t="shared" si="96"/>
        <v>19</v>
      </c>
      <c r="C1326" s="6">
        <v>43595</v>
      </c>
      <c r="D1326" s="7">
        <v>1653</v>
      </c>
    </row>
    <row r="1327" spans="1:4" x14ac:dyDescent="0.25">
      <c r="A1327" s="5">
        <f t="shared" si="95"/>
        <v>2019</v>
      </c>
      <c r="B1327" s="5">
        <f t="shared" si="96"/>
        <v>20</v>
      </c>
      <c r="C1327" s="6">
        <v>43602</v>
      </c>
      <c r="D1327" s="7">
        <v>1753</v>
      </c>
    </row>
    <row r="1328" spans="1:4" x14ac:dyDescent="0.25">
      <c r="A1328" s="5">
        <f t="shared" si="95"/>
        <v>2019</v>
      </c>
      <c r="B1328" s="5">
        <f t="shared" si="96"/>
        <v>21</v>
      </c>
      <c r="C1328" s="6">
        <v>43609</v>
      </c>
      <c r="D1328" s="7">
        <v>1867</v>
      </c>
    </row>
    <row r="1329" spans="1:4" x14ac:dyDescent="0.25">
      <c r="A1329" s="5">
        <f t="shared" si="95"/>
        <v>2019</v>
      </c>
      <c r="B1329" s="5">
        <f t="shared" si="96"/>
        <v>22</v>
      </c>
      <c r="C1329" s="6">
        <v>43616</v>
      </c>
      <c r="D1329" s="7">
        <v>1986</v>
      </c>
    </row>
    <row r="1330" spans="1:4" x14ac:dyDescent="0.25">
      <c r="A1330" s="5">
        <f t="shared" si="95"/>
        <v>2019</v>
      </c>
      <c r="B1330" s="5">
        <f t="shared" si="96"/>
        <v>23</v>
      </c>
      <c r="C1330" s="6">
        <v>43623</v>
      </c>
      <c r="D1330" s="7">
        <v>2088</v>
      </c>
    </row>
    <row r="1331" spans="1:4" x14ac:dyDescent="0.25">
      <c r="A1331" s="5">
        <f t="shared" si="95"/>
        <v>2019</v>
      </c>
      <c r="B1331" s="5">
        <f t="shared" si="96"/>
        <v>24</v>
      </c>
      <c r="C1331" s="6">
        <v>43630</v>
      </c>
      <c r="D1331" s="7">
        <v>2203</v>
      </c>
    </row>
    <row r="1332" spans="1:4" x14ac:dyDescent="0.25">
      <c r="A1332" s="5">
        <f t="shared" si="95"/>
        <v>2019</v>
      </c>
      <c r="B1332" s="5">
        <f t="shared" si="96"/>
        <v>25</v>
      </c>
      <c r="C1332" s="6">
        <v>43637</v>
      </c>
      <c r="D1332" s="7">
        <v>2301</v>
      </c>
    </row>
    <row r="1333" spans="1:4" x14ac:dyDescent="0.25">
      <c r="A1333" s="5">
        <f t="shared" si="95"/>
        <v>2019</v>
      </c>
      <c r="B1333" s="5">
        <f t="shared" si="96"/>
        <v>26</v>
      </c>
      <c r="C1333" s="6">
        <v>43644</v>
      </c>
      <c r="D1333" s="7">
        <v>2390</v>
      </c>
    </row>
    <row r="1334" spans="1:4" x14ac:dyDescent="0.25">
      <c r="A1334" s="5">
        <f t="shared" si="95"/>
        <v>2019</v>
      </c>
      <c r="B1334" s="5">
        <f t="shared" si="96"/>
        <v>27</v>
      </c>
      <c r="C1334" s="6">
        <v>43651</v>
      </c>
      <c r="D1334" s="7">
        <v>2471</v>
      </c>
    </row>
    <row r="1335" spans="1:4" x14ac:dyDescent="0.25">
      <c r="A1335" s="5">
        <f t="shared" si="95"/>
        <v>2019</v>
      </c>
      <c r="B1335" s="5">
        <f t="shared" si="96"/>
        <v>28</v>
      </c>
      <c r="C1335" s="6">
        <v>43658</v>
      </c>
      <c r="D1335" s="7">
        <v>2533</v>
      </c>
    </row>
    <row r="1336" spans="1:4" x14ac:dyDescent="0.25">
      <c r="A1336" s="5">
        <f t="shared" si="95"/>
        <v>2019</v>
      </c>
      <c r="B1336" s="5">
        <f t="shared" si="96"/>
        <v>29</v>
      </c>
      <c r="C1336" s="6">
        <v>43665</v>
      </c>
      <c r="D1336" s="7">
        <v>2569</v>
      </c>
    </row>
    <row r="1337" spans="1:4" x14ac:dyDescent="0.25">
      <c r="A1337" s="5">
        <f t="shared" si="95"/>
        <v>2019</v>
      </c>
      <c r="B1337" s="5">
        <f t="shared" si="96"/>
        <v>30</v>
      </c>
      <c r="C1337" s="6">
        <v>43672</v>
      </c>
      <c r="D1337" s="7">
        <v>2634</v>
      </c>
    </row>
    <row r="1338" spans="1:4" x14ac:dyDescent="0.25">
      <c r="A1338" s="5">
        <f t="shared" si="95"/>
        <v>2019</v>
      </c>
      <c r="B1338" s="5">
        <f t="shared" si="96"/>
        <v>31</v>
      </c>
      <c r="C1338" s="6">
        <v>43679</v>
      </c>
      <c r="D1338" s="7">
        <v>2689</v>
      </c>
    </row>
    <row r="1339" spans="1:4" x14ac:dyDescent="0.25">
      <c r="A1339" s="5">
        <f t="shared" si="95"/>
        <v>2019</v>
      </c>
      <c r="B1339" s="5">
        <f t="shared" si="96"/>
        <v>32</v>
      </c>
      <c r="C1339" s="6">
        <v>43686</v>
      </c>
      <c r="D1339" s="7">
        <v>2738</v>
      </c>
    </row>
    <row r="1340" spans="1:4" x14ac:dyDescent="0.25">
      <c r="A1340" s="5">
        <f t="shared" si="95"/>
        <v>2019</v>
      </c>
      <c r="B1340" s="5">
        <f t="shared" si="96"/>
        <v>33</v>
      </c>
      <c r="C1340" s="6">
        <v>43693</v>
      </c>
      <c r="D1340" s="7">
        <v>2797</v>
      </c>
    </row>
    <row r="1341" spans="1:4" x14ac:dyDescent="0.25">
      <c r="A1341" s="5">
        <f t="shared" ref="A1341:A1404" si="97">YEAR(C1341)</f>
        <v>2019</v>
      </c>
      <c r="B1341" s="5">
        <f t="shared" ref="B1341:B1404" si="98">WEEKNUM(C1341)</f>
        <v>34</v>
      </c>
      <c r="C1341" s="6">
        <v>43700</v>
      </c>
      <c r="D1341" s="7">
        <v>2857</v>
      </c>
    </row>
    <row r="1342" spans="1:4" x14ac:dyDescent="0.25">
      <c r="A1342" s="5">
        <f t="shared" si="97"/>
        <v>2019</v>
      </c>
      <c r="B1342" s="5">
        <f t="shared" si="98"/>
        <v>35</v>
      </c>
      <c r="C1342" s="6">
        <v>43707</v>
      </c>
      <c r="D1342" s="7">
        <v>2941</v>
      </c>
    </row>
    <row r="1343" spans="1:4" x14ac:dyDescent="0.25">
      <c r="A1343" s="5">
        <f t="shared" si="97"/>
        <v>2019</v>
      </c>
      <c r="B1343" s="5">
        <f t="shared" si="98"/>
        <v>36</v>
      </c>
      <c r="C1343" s="6">
        <v>43714</v>
      </c>
      <c r="D1343" s="7">
        <v>3019</v>
      </c>
    </row>
    <row r="1344" spans="1:4" x14ac:dyDescent="0.25">
      <c r="A1344" s="5">
        <f t="shared" si="97"/>
        <v>2019</v>
      </c>
      <c r="B1344" s="5">
        <f t="shared" si="98"/>
        <v>37</v>
      </c>
      <c r="C1344" s="6">
        <v>43721</v>
      </c>
      <c r="D1344" s="7">
        <v>3103</v>
      </c>
    </row>
    <row r="1345" spans="1:4" x14ac:dyDescent="0.25">
      <c r="A1345" s="5">
        <f t="shared" si="97"/>
        <v>2019</v>
      </c>
      <c r="B1345" s="5">
        <f t="shared" si="98"/>
        <v>38</v>
      </c>
      <c r="C1345" s="6">
        <v>43728</v>
      </c>
      <c r="D1345" s="7">
        <v>3205</v>
      </c>
    </row>
    <row r="1346" spans="1:4" x14ac:dyDescent="0.25">
      <c r="A1346" s="5">
        <f t="shared" si="97"/>
        <v>2019</v>
      </c>
      <c r="B1346" s="5">
        <f t="shared" si="98"/>
        <v>39</v>
      </c>
      <c r="C1346" s="6">
        <v>43735</v>
      </c>
      <c r="D1346" s="7">
        <v>3317</v>
      </c>
    </row>
    <row r="1347" spans="1:4" x14ac:dyDescent="0.25">
      <c r="A1347" s="5">
        <f t="shared" si="97"/>
        <v>2019</v>
      </c>
      <c r="B1347" s="5">
        <f t="shared" si="98"/>
        <v>40</v>
      </c>
      <c r="C1347" s="6">
        <v>43742</v>
      </c>
      <c r="D1347" s="7">
        <v>3415</v>
      </c>
    </row>
    <row r="1348" spans="1:4" x14ac:dyDescent="0.25">
      <c r="A1348" s="5">
        <f t="shared" si="97"/>
        <v>2019</v>
      </c>
      <c r="B1348" s="5">
        <f t="shared" si="98"/>
        <v>41</v>
      </c>
      <c r="C1348" s="6">
        <v>43749</v>
      </c>
      <c r="D1348" s="7">
        <v>3519</v>
      </c>
    </row>
    <row r="1349" spans="1:4" x14ac:dyDescent="0.25">
      <c r="A1349" s="5">
        <f t="shared" si="97"/>
        <v>2019</v>
      </c>
      <c r="B1349" s="5">
        <f t="shared" si="98"/>
        <v>42</v>
      </c>
      <c r="C1349" s="6">
        <v>43756</v>
      </c>
      <c r="D1349" s="7">
        <v>3606</v>
      </c>
    </row>
    <row r="1350" spans="1:4" x14ac:dyDescent="0.25">
      <c r="A1350" s="5">
        <f t="shared" si="97"/>
        <v>2019</v>
      </c>
      <c r="B1350" s="5">
        <f t="shared" si="98"/>
        <v>43</v>
      </c>
      <c r="C1350" s="6">
        <v>43763</v>
      </c>
      <c r="D1350" s="7">
        <v>3695</v>
      </c>
    </row>
    <row r="1351" spans="1:4" x14ac:dyDescent="0.25">
      <c r="A1351" s="5">
        <f t="shared" si="97"/>
        <v>2019</v>
      </c>
      <c r="B1351" s="5">
        <f t="shared" si="98"/>
        <v>44</v>
      </c>
      <c r="C1351" s="6">
        <v>43770</v>
      </c>
      <c r="D1351" s="7">
        <v>3729</v>
      </c>
    </row>
    <row r="1352" spans="1:4" x14ac:dyDescent="0.25">
      <c r="A1352" s="5">
        <f t="shared" si="97"/>
        <v>2019</v>
      </c>
      <c r="B1352" s="5">
        <f t="shared" si="98"/>
        <v>45</v>
      </c>
      <c r="C1352" s="6">
        <v>43777</v>
      </c>
      <c r="D1352" s="7">
        <v>3732</v>
      </c>
    </row>
    <row r="1353" spans="1:4" x14ac:dyDescent="0.25">
      <c r="A1353" s="5">
        <f t="shared" si="97"/>
        <v>2019</v>
      </c>
      <c r="B1353" s="5">
        <f t="shared" si="98"/>
        <v>46</v>
      </c>
      <c r="C1353" s="6">
        <v>43784</v>
      </c>
      <c r="D1353" s="7">
        <v>3638</v>
      </c>
    </row>
    <row r="1354" spans="1:4" x14ac:dyDescent="0.25">
      <c r="A1354" s="5">
        <f t="shared" si="97"/>
        <v>2019</v>
      </c>
      <c r="B1354" s="5">
        <f t="shared" si="98"/>
        <v>47</v>
      </c>
      <c r="C1354" s="6">
        <v>43791</v>
      </c>
      <c r="D1354" s="7">
        <v>3610</v>
      </c>
    </row>
    <row r="1355" spans="1:4" x14ac:dyDescent="0.25">
      <c r="A1355" s="5">
        <f t="shared" si="97"/>
        <v>2019</v>
      </c>
      <c r="B1355" s="5">
        <f t="shared" si="98"/>
        <v>48</v>
      </c>
      <c r="C1355" s="6">
        <v>43798</v>
      </c>
      <c r="D1355" s="7">
        <v>3591</v>
      </c>
    </row>
    <row r="1356" spans="1:4" x14ac:dyDescent="0.25">
      <c r="A1356" s="5">
        <f t="shared" si="97"/>
        <v>2019</v>
      </c>
      <c r="B1356" s="5">
        <f t="shared" si="98"/>
        <v>49</v>
      </c>
      <c r="C1356" s="6">
        <v>43805</v>
      </c>
      <c r="D1356" s="7">
        <v>3518</v>
      </c>
    </row>
    <row r="1357" spans="1:4" x14ac:dyDescent="0.25">
      <c r="A1357" s="5">
        <f t="shared" si="97"/>
        <v>2019</v>
      </c>
      <c r="B1357" s="5">
        <f t="shared" si="98"/>
        <v>50</v>
      </c>
      <c r="C1357" s="6">
        <v>43812</v>
      </c>
      <c r="D1357" s="7">
        <v>3411</v>
      </c>
    </row>
    <row r="1358" spans="1:4" x14ac:dyDescent="0.25">
      <c r="A1358" s="5">
        <f t="shared" si="97"/>
        <v>2019</v>
      </c>
      <c r="B1358" s="5">
        <f t="shared" si="98"/>
        <v>51</v>
      </c>
      <c r="C1358" s="6">
        <v>43819</v>
      </c>
      <c r="D1358" s="7">
        <v>3250</v>
      </c>
    </row>
    <row r="1359" spans="1:4" x14ac:dyDescent="0.25">
      <c r="A1359" s="5">
        <f t="shared" si="97"/>
        <v>2019</v>
      </c>
      <c r="B1359" s="5">
        <f t="shared" si="98"/>
        <v>52</v>
      </c>
      <c r="C1359" s="6">
        <v>43826</v>
      </c>
      <c r="D1359" s="7">
        <v>3192</v>
      </c>
    </row>
    <row r="1360" spans="1:4" x14ac:dyDescent="0.25">
      <c r="A1360" s="5">
        <f t="shared" si="97"/>
        <v>2020</v>
      </c>
      <c r="B1360" s="5">
        <f t="shared" si="98"/>
        <v>1</v>
      </c>
      <c r="C1360" s="6">
        <v>43833</v>
      </c>
      <c r="D1360" s="7">
        <v>3148</v>
      </c>
    </row>
    <row r="1361" spans="1:4" x14ac:dyDescent="0.25">
      <c r="A1361" s="5">
        <f t="shared" si="97"/>
        <v>2020</v>
      </c>
      <c r="B1361" s="5">
        <f t="shared" si="98"/>
        <v>2</v>
      </c>
      <c r="C1361" s="6">
        <v>43840</v>
      </c>
      <c r="D1361" s="7">
        <v>3039</v>
      </c>
    </row>
    <row r="1362" spans="1:4" x14ac:dyDescent="0.25">
      <c r="A1362" s="5">
        <f t="shared" si="97"/>
        <v>2020</v>
      </c>
      <c r="B1362" s="5">
        <f t="shared" si="98"/>
        <v>3</v>
      </c>
      <c r="C1362" s="6">
        <v>43847</v>
      </c>
      <c r="D1362" s="7">
        <v>2947</v>
      </c>
    </row>
    <row r="1363" spans="1:4" x14ac:dyDescent="0.25">
      <c r="A1363" s="5">
        <f t="shared" si="97"/>
        <v>2020</v>
      </c>
      <c r="B1363" s="5">
        <f t="shared" si="98"/>
        <v>4</v>
      </c>
      <c r="C1363" s="6">
        <v>43854</v>
      </c>
      <c r="D1363" s="7">
        <v>2746</v>
      </c>
    </row>
    <row r="1364" spans="1:4" x14ac:dyDescent="0.25">
      <c r="A1364" s="5">
        <f t="shared" si="97"/>
        <v>2020</v>
      </c>
      <c r="B1364" s="5">
        <f t="shared" si="98"/>
        <v>5</v>
      </c>
      <c r="C1364" s="6">
        <v>43861</v>
      </c>
      <c r="D1364" s="7">
        <v>2609</v>
      </c>
    </row>
    <row r="1365" spans="1:4" x14ac:dyDescent="0.25">
      <c r="A1365" s="5">
        <f t="shared" si="97"/>
        <v>2020</v>
      </c>
      <c r="B1365" s="5">
        <f t="shared" si="98"/>
        <v>6</v>
      </c>
      <c r="C1365" s="6">
        <v>43868</v>
      </c>
      <c r="D1365" s="7">
        <v>2494</v>
      </c>
    </row>
    <row r="1366" spans="1:4" x14ac:dyDescent="0.25">
      <c r="A1366" s="5">
        <f t="shared" si="97"/>
        <v>2020</v>
      </c>
      <c r="B1366" s="5">
        <f t="shared" si="98"/>
        <v>7</v>
      </c>
      <c r="C1366" s="6">
        <v>43875</v>
      </c>
      <c r="D1366" s="7">
        <v>2343</v>
      </c>
    </row>
    <row r="1367" spans="1:4" x14ac:dyDescent="0.25">
      <c r="A1367" s="5">
        <f t="shared" si="97"/>
        <v>2020</v>
      </c>
      <c r="B1367" s="5">
        <f t="shared" si="98"/>
        <v>8</v>
      </c>
      <c r="C1367" s="6">
        <v>43882</v>
      </c>
      <c r="D1367" s="7">
        <v>2200</v>
      </c>
    </row>
    <row r="1368" spans="1:4" x14ac:dyDescent="0.25">
      <c r="A1368" s="5">
        <f t="shared" si="97"/>
        <v>2020</v>
      </c>
      <c r="B1368" s="5">
        <f t="shared" si="98"/>
        <v>9</v>
      </c>
      <c r="C1368" s="6">
        <v>43889</v>
      </c>
      <c r="D1368" s="7">
        <v>2091</v>
      </c>
    </row>
    <row r="1369" spans="1:4" x14ac:dyDescent="0.25">
      <c r="A1369" s="5">
        <f t="shared" si="97"/>
        <v>2020</v>
      </c>
      <c r="B1369" s="5">
        <f t="shared" si="98"/>
        <v>10</v>
      </c>
      <c r="C1369" s="6">
        <v>43896</v>
      </c>
      <c r="D1369" s="7">
        <v>2043</v>
      </c>
    </row>
    <row r="1370" spans="1:4" x14ac:dyDescent="0.25">
      <c r="A1370" s="5">
        <f t="shared" si="97"/>
        <v>2020</v>
      </c>
      <c r="B1370" s="5">
        <f t="shared" si="98"/>
        <v>11</v>
      </c>
      <c r="C1370" s="6">
        <v>43903</v>
      </c>
      <c r="D1370" s="7">
        <v>2034</v>
      </c>
    </row>
    <row r="1371" spans="1:4" x14ac:dyDescent="0.25">
      <c r="A1371" s="5">
        <f t="shared" si="97"/>
        <v>2020</v>
      </c>
      <c r="B1371" s="5">
        <f t="shared" si="98"/>
        <v>12</v>
      </c>
      <c r="C1371" s="6">
        <v>43910</v>
      </c>
      <c r="D1371" s="7">
        <v>2005</v>
      </c>
    </row>
    <row r="1372" spans="1:4" x14ac:dyDescent="0.25">
      <c r="A1372" s="5">
        <f t="shared" si="97"/>
        <v>2020</v>
      </c>
      <c r="B1372" s="5">
        <f t="shared" si="98"/>
        <v>13</v>
      </c>
      <c r="C1372" s="6">
        <v>43917</v>
      </c>
      <c r="D1372" s="7">
        <v>1986</v>
      </c>
    </row>
    <row r="1373" spans="1:4" x14ac:dyDescent="0.25">
      <c r="A1373" s="5">
        <f t="shared" si="97"/>
        <v>2020</v>
      </c>
      <c r="B1373" s="5">
        <f t="shared" si="98"/>
        <v>14</v>
      </c>
      <c r="C1373" s="6">
        <v>43924</v>
      </c>
      <c r="D1373" s="7">
        <v>2024</v>
      </c>
    </row>
    <row r="1374" spans="1:4" x14ac:dyDescent="0.25">
      <c r="A1374" s="5">
        <f t="shared" si="97"/>
        <v>2020</v>
      </c>
      <c r="B1374" s="5">
        <f t="shared" si="98"/>
        <v>15</v>
      </c>
      <c r="C1374" s="6">
        <v>43931</v>
      </c>
      <c r="D1374" s="7">
        <v>2097</v>
      </c>
    </row>
    <row r="1375" spans="1:4" x14ac:dyDescent="0.25">
      <c r="A1375" s="5">
        <f t="shared" si="97"/>
        <v>2020</v>
      </c>
      <c r="B1375" s="5">
        <f t="shared" si="98"/>
        <v>16</v>
      </c>
      <c r="C1375" s="6">
        <v>43938</v>
      </c>
      <c r="D1375" s="7">
        <v>2140</v>
      </c>
    </row>
    <row r="1376" spans="1:4" x14ac:dyDescent="0.25">
      <c r="A1376" s="5">
        <f t="shared" si="97"/>
        <v>2020</v>
      </c>
      <c r="B1376" s="5">
        <f t="shared" si="98"/>
        <v>17</v>
      </c>
      <c r="C1376" s="6">
        <v>43945</v>
      </c>
      <c r="D1376" s="7">
        <v>2210</v>
      </c>
    </row>
    <row r="1377" spans="1:4" x14ac:dyDescent="0.25">
      <c r="A1377" s="5">
        <f t="shared" si="97"/>
        <v>2020</v>
      </c>
      <c r="B1377" s="5">
        <f t="shared" si="98"/>
        <v>18</v>
      </c>
      <c r="C1377" s="6">
        <v>43952</v>
      </c>
      <c r="D1377" s="7">
        <v>2319</v>
      </c>
    </row>
    <row r="1378" spans="1:4" x14ac:dyDescent="0.25">
      <c r="A1378" s="5">
        <f t="shared" si="97"/>
        <v>2020</v>
      </c>
      <c r="B1378" s="5">
        <f t="shared" si="98"/>
        <v>19</v>
      </c>
      <c r="C1378" s="6">
        <v>43959</v>
      </c>
      <c r="D1378" s="7">
        <v>2422</v>
      </c>
    </row>
    <row r="1379" spans="1:4" x14ac:dyDescent="0.25">
      <c r="A1379" s="5">
        <f t="shared" si="97"/>
        <v>2020</v>
      </c>
      <c r="B1379" s="5">
        <f t="shared" si="98"/>
        <v>20</v>
      </c>
      <c r="C1379" s="6">
        <v>43966</v>
      </c>
      <c r="D1379" s="7">
        <v>2503</v>
      </c>
    </row>
    <row r="1380" spans="1:4" x14ac:dyDescent="0.25">
      <c r="A1380" s="5">
        <f t="shared" si="97"/>
        <v>2020</v>
      </c>
      <c r="B1380" s="5">
        <f t="shared" si="98"/>
        <v>21</v>
      </c>
      <c r="C1380" s="6">
        <v>43973</v>
      </c>
      <c r="D1380" s="7">
        <v>2612</v>
      </c>
    </row>
    <row r="1381" spans="1:4" x14ac:dyDescent="0.25">
      <c r="A1381" s="5">
        <f t="shared" si="97"/>
        <v>2020</v>
      </c>
      <c r="B1381" s="5">
        <f t="shared" si="98"/>
        <v>22</v>
      </c>
      <c r="C1381" s="6">
        <v>43980</v>
      </c>
      <c r="D1381" s="7">
        <v>2714</v>
      </c>
    </row>
    <row r="1382" spans="1:4" x14ac:dyDescent="0.25">
      <c r="A1382" s="5">
        <f t="shared" si="97"/>
        <v>2020</v>
      </c>
      <c r="B1382" s="5">
        <f t="shared" si="98"/>
        <v>23</v>
      </c>
      <c r="C1382" s="6">
        <v>43987</v>
      </c>
      <c r="D1382" s="7">
        <v>2807</v>
      </c>
    </row>
    <row r="1383" spans="1:4" x14ac:dyDescent="0.25">
      <c r="A1383" s="5">
        <f t="shared" si="97"/>
        <v>2020</v>
      </c>
      <c r="B1383" s="5">
        <f t="shared" si="98"/>
        <v>24</v>
      </c>
      <c r="C1383" s="6">
        <v>43994</v>
      </c>
      <c r="D1383" s="7">
        <v>2892</v>
      </c>
    </row>
    <row r="1384" spans="1:4" x14ac:dyDescent="0.25">
      <c r="A1384" s="5">
        <f t="shared" si="97"/>
        <v>2020</v>
      </c>
      <c r="B1384" s="5">
        <f t="shared" si="98"/>
        <v>25</v>
      </c>
      <c r="C1384" s="6">
        <v>44001</v>
      </c>
      <c r="D1384" s="7">
        <v>3012</v>
      </c>
    </row>
    <row r="1385" spans="1:4" x14ac:dyDescent="0.25">
      <c r="A1385" s="5">
        <f t="shared" si="97"/>
        <v>2020</v>
      </c>
      <c r="B1385" s="5">
        <f t="shared" si="98"/>
        <v>26</v>
      </c>
      <c r="C1385" s="6">
        <v>44008</v>
      </c>
      <c r="D1385" s="7">
        <v>3077</v>
      </c>
    </row>
    <row r="1386" spans="1:4" x14ac:dyDescent="0.25">
      <c r="A1386" s="5">
        <f t="shared" si="97"/>
        <v>2020</v>
      </c>
      <c r="B1386" s="5">
        <f t="shared" si="98"/>
        <v>27</v>
      </c>
      <c r="C1386" s="6">
        <v>44015</v>
      </c>
      <c r="D1386" s="7">
        <v>3133</v>
      </c>
    </row>
    <row r="1387" spans="1:4" x14ac:dyDescent="0.25">
      <c r="A1387" s="5">
        <f t="shared" si="97"/>
        <v>2020</v>
      </c>
      <c r="B1387" s="5">
        <f t="shared" si="98"/>
        <v>28</v>
      </c>
      <c r="C1387" s="6">
        <v>44022</v>
      </c>
      <c r="D1387" s="7">
        <v>3178</v>
      </c>
    </row>
    <row r="1388" spans="1:4" x14ac:dyDescent="0.25">
      <c r="A1388" s="5">
        <f t="shared" si="97"/>
        <v>2020</v>
      </c>
      <c r="B1388" s="5">
        <f t="shared" si="98"/>
        <v>29</v>
      </c>
      <c r="C1388" s="6">
        <v>44029</v>
      </c>
      <c r="D1388" s="7">
        <v>3215</v>
      </c>
    </row>
    <row r="1389" spans="1:4" x14ac:dyDescent="0.25">
      <c r="A1389" s="5">
        <f t="shared" si="97"/>
        <v>2020</v>
      </c>
      <c r="B1389" s="5">
        <f t="shared" si="98"/>
        <v>30</v>
      </c>
      <c r="C1389" s="6">
        <v>44036</v>
      </c>
      <c r="D1389" s="7">
        <v>3241</v>
      </c>
    </row>
    <row r="1390" spans="1:4" x14ac:dyDescent="0.25">
      <c r="A1390" s="5">
        <f t="shared" si="97"/>
        <v>2020</v>
      </c>
      <c r="B1390" s="5">
        <f t="shared" si="98"/>
        <v>31</v>
      </c>
      <c r="C1390" s="6">
        <v>44043</v>
      </c>
      <c r="D1390" s="7">
        <v>3274</v>
      </c>
    </row>
    <row r="1391" spans="1:4" x14ac:dyDescent="0.25">
      <c r="A1391" s="5">
        <f t="shared" si="97"/>
        <v>2020</v>
      </c>
      <c r="B1391" s="5">
        <f t="shared" si="98"/>
        <v>32</v>
      </c>
      <c r="C1391" s="6">
        <v>44050</v>
      </c>
      <c r="D1391" s="7">
        <v>3332</v>
      </c>
    </row>
    <row r="1392" spans="1:4" x14ac:dyDescent="0.25">
      <c r="A1392" s="5">
        <f t="shared" si="97"/>
        <v>2020</v>
      </c>
      <c r="B1392" s="5">
        <f t="shared" si="98"/>
        <v>33</v>
      </c>
      <c r="C1392" s="6">
        <v>44057</v>
      </c>
      <c r="D1392" s="7">
        <v>3375</v>
      </c>
    </row>
    <row r="1393" spans="1:4" x14ac:dyDescent="0.25">
      <c r="A1393" s="5">
        <f t="shared" si="97"/>
        <v>2020</v>
      </c>
      <c r="B1393" s="5">
        <f t="shared" si="98"/>
        <v>34</v>
      </c>
      <c r="C1393" s="6">
        <v>44064</v>
      </c>
      <c r="D1393" s="7">
        <v>3420</v>
      </c>
    </row>
    <row r="1394" spans="1:4" x14ac:dyDescent="0.25">
      <c r="A1394" s="5">
        <f t="shared" si="97"/>
        <v>2020</v>
      </c>
      <c r="B1394" s="5">
        <f t="shared" si="98"/>
        <v>35</v>
      </c>
      <c r="C1394" s="6">
        <v>44071</v>
      </c>
      <c r="D1394" s="7">
        <v>3455</v>
      </c>
    </row>
    <row r="1395" spans="1:4" x14ac:dyDescent="0.25">
      <c r="A1395" s="5">
        <f t="shared" si="97"/>
        <v>2020</v>
      </c>
      <c r="B1395" s="5">
        <f t="shared" si="98"/>
        <v>36</v>
      </c>
      <c r="C1395" s="6">
        <v>44078</v>
      </c>
      <c r="D1395" s="7">
        <v>3525</v>
      </c>
    </row>
    <row r="1396" spans="1:4" x14ac:dyDescent="0.25">
      <c r="A1396" s="5">
        <f t="shared" si="97"/>
        <v>2020</v>
      </c>
      <c r="B1396" s="5">
        <f t="shared" si="98"/>
        <v>37</v>
      </c>
      <c r="C1396" s="6">
        <v>44085</v>
      </c>
      <c r="D1396" s="7">
        <v>3614</v>
      </c>
    </row>
    <row r="1397" spans="1:4" x14ac:dyDescent="0.25">
      <c r="A1397" s="5">
        <f t="shared" si="97"/>
        <v>2020</v>
      </c>
      <c r="B1397" s="5">
        <f t="shared" si="98"/>
        <v>38</v>
      </c>
      <c r="C1397" s="6">
        <v>44092</v>
      </c>
      <c r="D1397" s="7">
        <v>3680</v>
      </c>
    </row>
    <row r="1398" spans="1:4" x14ac:dyDescent="0.25">
      <c r="A1398" s="5">
        <f t="shared" si="97"/>
        <v>2020</v>
      </c>
      <c r="B1398" s="5">
        <f t="shared" si="98"/>
        <v>39</v>
      </c>
      <c r="C1398" s="6">
        <v>44099</v>
      </c>
      <c r="D1398" s="7">
        <v>3756</v>
      </c>
    </row>
    <row r="1399" spans="1:4" x14ac:dyDescent="0.25">
      <c r="A1399" s="5">
        <f t="shared" si="97"/>
        <v>2020</v>
      </c>
      <c r="B1399" s="5">
        <f t="shared" si="98"/>
        <v>40</v>
      </c>
      <c r="C1399" s="6">
        <v>44106</v>
      </c>
      <c r="D1399" s="7">
        <v>3831</v>
      </c>
    </row>
    <row r="1400" spans="1:4" x14ac:dyDescent="0.25">
      <c r="A1400" s="5">
        <f t="shared" si="97"/>
        <v>2020</v>
      </c>
      <c r="B1400" s="5">
        <f t="shared" si="98"/>
        <v>41</v>
      </c>
      <c r="C1400" s="6">
        <v>44113</v>
      </c>
      <c r="D1400" s="7">
        <v>3877</v>
      </c>
    </row>
    <row r="1401" spans="1:4" x14ac:dyDescent="0.25">
      <c r="A1401" s="5">
        <f t="shared" si="97"/>
        <v>2020</v>
      </c>
      <c r="B1401" s="5">
        <f t="shared" si="98"/>
        <v>42</v>
      </c>
      <c r="C1401" s="6">
        <v>44120</v>
      </c>
      <c r="D1401" s="7">
        <v>3926</v>
      </c>
    </row>
    <row r="1402" spans="1:4" x14ac:dyDescent="0.25">
      <c r="A1402" s="5">
        <f t="shared" si="97"/>
        <v>2020</v>
      </c>
      <c r="B1402" s="5">
        <f t="shared" si="98"/>
        <v>43</v>
      </c>
      <c r="C1402" s="6">
        <v>44127</v>
      </c>
      <c r="D1402" s="7">
        <v>3955</v>
      </c>
    </row>
    <row r="1403" spans="1:4" x14ac:dyDescent="0.25">
      <c r="A1403" s="5">
        <f t="shared" si="97"/>
        <v>2020</v>
      </c>
      <c r="B1403" s="5">
        <f t="shared" si="98"/>
        <v>44</v>
      </c>
      <c r="C1403" s="6">
        <v>44134</v>
      </c>
      <c r="D1403" s="7">
        <v>3919</v>
      </c>
    </row>
    <row r="1404" spans="1:4" x14ac:dyDescent="0.25">
      <c r="A1404" s="5">
        <f t="shared" si="97"/>
        <v>2020</v>
      </c>
      <c r="B1404" s="5">
        <f t="shared" si="98"/>
        <v>45</v>
      </c>
      <c r="C1404" s="6">
        <v>44141</v>
      </c>
      <c r="D1404" s="7">
        <v>3927</v>
      </c>
    </row>
    <row r="1405" spans="1:4" x14ac:dyDescent="0.25">
      <c r="A1405" s="5">
        <f t="shared" ref="A1405:A1468" si="99">YEAR(C1405)</f>
        <v>2020</v>
      </c>
      <c r="B1405" s="5">
        <f t="shared" ref="B1405:B1468" si="100">WEEKNUM(C1405)</f>
        <v>46</v>
      </c>
      <c r="C1405" s="6">
        <v>44148</v>
      </c>
      <c r="D1405" s="7">
        <v>3958</v>
      </c>
    </row>
    <row r="1406" spans="1:4" x14ac:dyDescent="0.25">
      <c r="A1406" s="5">
        <f t="shared" si="99"/>
        <v>2020</v>
      </c>
      <c r="B1406" s="5">
        <f t="shared" si="100"/>
        <v>47</v>
      </c>
      <c r="C1406" s="6">
        <v>44155</v>
      </c>
      <c r="D1406" s="7">
        <v>3940</v>
      </c>
    </row>
    <row r="1407" spans="1:4" x14ac:dyDescent="0.25">
      <c r="A1407" s="5">
        <f t="shared" si="99"/>
        <v>2020</v>
      </c>
      <c r="B1407" s="5">
        <f t="shared" si="100"/>
        <v>48</v>
      </c>
      <c r="C1407" s="6">
        <v>44162</v>
      </c>
      <c r="D1407" s="7">
        <v>3939</v>
      </c>
    </row>
    <row r="1408" spans="1:4" x14ac:dyDescent="0.25">
      <c r="A1408" s="5">
        <f t="shared" si="99"/>
        <v>2020</v>
      </c>
      <c r="B1408" s="5">
        <f t="shared" si="100"/>
        <v>49</v>
      </c>
      <c r="C1408" s="6">
        <v>44169</v>
      </c>
      <c r="D1408" s="7">
        <v>3848</v>
      </c>
    </row>
    <row r="1409" spans="1:4" x14ac:dyDescent="0.25">
      <c r="A1409" s="5">
        <f t="shared" si="99"/>
        <v>2020</v>
      </c>
      <c r="B1409" s="5">
        <f t="shared" si="100"/>
        <v>50</v>
      </c>
      <c r="C1409" s="6">
        <v>44176</v>
      </c>
      <c r="D1409" s="7">
        <v>3726</v>
      </c>
    </row>
    <row r="1410" spans="1:4" x14ac:dyDescent="0.25">
      <c r="A1410" s="5">
        <f t="shared" si="99"/>
        <v>2020</v>
      </c>
      <c r="B1410" s="5">
        <f t="shared" si="100"/>
        <v>51</v>
      </c>
      <c r="C1410" s="6">
        <v>44183</v>
      </c>
      <c r="D1410" s="7">
        <v>3574</v>
      </c>
    </row>
    <row r="1411" spans="1:4" x14ac:dyDescent="0.25">
      <c r="A1411" s="5">
        <f t="shared" si="99"/>
        <v>2020</v>
      </c>
      <c r="B1411" s="5">
        <f t="shared" si="100"/>
        <v>52</v>
      </c>
      <c r="C1411" s="6">
        <v>44190</v>
      </c>
      <c r="D1411" s="7">
        <v>3460</v>
      </c>
    </row>
    <row r="1412" spans="1:4" x14ac:dyDescent="0.25">
      <c r="A1412" s="5">
        <f t="shared" si="99"/>
        <v>2021</v>
      </c>
      <c r="B1412" s="5">
        <f t="shared" si="100"/>
        <v>1</v>
      </c>
      <c r="C1412" s="6">
        <v>44197</v>
      </c>
      <c r="D1412" s="7">
        <v>3330</v>
      </c>
    </row>
    <row r="1413" spans="1:4" x14ac:dyDescent="0.25">
      <c r="A1413" s="5">
        <f t="shared" si="99"/>
        <v>2021</v>
      </c>
      <c r="B1413" s="5">
        <f t="shared" si="100"/>
        <v>2</v>
      </c>
      <c r="C1413" s="6">
        <v>44204</v>
      </c>
      <c r="D1413" s="7">
        <v>3196</v>
      </c>
    </row>
    <row r="1414" spans="1:4" x14ac:dyDescent="0.25">
      <c r="A1414" s="5">
        <f t="shared" si="99"/>
        <v>2021</v>
      </c>
      <c r="B1414" s="5">
        <f t="shared" si="100"/>
        <v>3</v>
      </c>
      <c r="C1414" s="6">
        <v>44211</v>
      </c>
      <c r="D1414" s="7">
        <v>3009</v>
      </c>
    </row>
    <row r="1415" spans="1:4" x14ac:dyDescent="0.25">
      <c r="A1415" s="5">
        <f t="shared" si="99"/>
        <v>2021</v>
      </c>
      <c r="B1415" s="5">
        <f t="shared" si="100"/>
        <v>4</v>
      </c>
      <c r="C1415" s="6">
        <v>44218</v>
      </c>
      <c r="D1415" s="7">
        <v>2881</v>
      </c>
    </row>
    <row r="1416" spans="1:4" x14ac:dyDescent="0.25">
      <c r="A1416" s="5">
        <f t="shared" si="99"/>
        <v>2021</v>
      </c>
      <c r="B1416" s="5">
        <f t="shared" si="100"/>
        <v>5</v>
      </c>
      <c r="C1416" s="6">
        <v>44225</v>
      </c>
      <c r="D1416" s="7">
        <v>2689</v>
      </c>
    </row>
    <row r="1417" spans="1:4" x14ac:dyDescent="0.25">
      <c r="A1417" s="5">
        <f t="shared" si="99"/>
        <v>2021</v>
      </c>
      <c r="B1417" s="5">
        <f t="shared" si="100"/>
        <v>6</v>
      </c>
      <c r="C1417" s="6">
        <v>44232</v>
      </c>
      <c r="D1417" s="7">
        <v>2518</v>
      </c>
    </row>
    <row r="1418" spans="1:4" x14ac:dyDescent="0.25">
      <c r="A1418" s="5">
        <f t="shared" si="99"/>
        <v>2021</v>
      </c>
      <c r="B1418" s="5">
        <f t="shared" si="100"/>
        <v>7</v>
      </c>
      <c r="C1418" s="6">
        <v>44239</v>
      </c>
      <c r="D1418" s="7">
        <v>2281</v>
      </c>
    </row>
    <row r="1419" spans="1:4" x14ac:dyDescent="0.25">
      <c r="A1419" s="5">
        <f t="shared" si="99"/>
        <v>2021</v>
      </c>
      <c r="B1419" s="5">
        <f t="shared" si="100"/>
        <v>8</v>
      </c>
      <c r="C1419" s="6">
        <v>44246</v>
      </c>
      <c r="D1419" s="7">
        <v>1943</v>
      </c>
    </row>
    <row r="1420" spans="1:4" x14ac:dyDescent="0.25">
      <c r="A1420" s="5">
        <f t="shared" si="99"/>
        <v>2021</v>
      </c>
      <c r="B1420" s="5">
        <f t="shared" si="100"/>
        <v>9</v>
      </c>
      <c r="C1420" s="6">
        <v>44253</v>
      </c>
      <c r="D1420" s="7">
        <v>1845</v>
      </c>
    </row>
    <row r="1421" spans="1:4" x14ac:dyDescent="0.25">
      <c r="A1421" s="5">
        <f t="shared" si="99"/>
        <v>2021</v>
      </c>
      <c r="B1421" s="5">
        <f t="shared" si="100"/>
        <v>10</v>
      </c>
      <c r="C1421" s="6">
        <v>44260</v>
      </c>
      <c r="D1421" s="7">
        <v>1793</v>
      </c>
    </row>
    <row r="1422" spans="1:4" x14ac:dyDescent="0.25">
      <c r="A1422" s="5">
        <f t="shared" si="99"/>
        <v>2021</v>
      </c>
      <c r="B1422" s="5">
        <f t="shared" si="100"/>
        <v>11</v>
      </c>
      <c r="C1422" s="6">
        <v>44267</v>
      </c>
      <c r="D1422" s="7">
        <v>1782</v>
      </c>
    </row>
    <row r="1423" spans="1:4" x14ac:dyDescent="0.25">
      <c r="A1423" s="5">
        <f t="shared" si="99"/>
        <v>2021</v>
      </c>
      <c r="B1423" s="5">
        <f t="shared" si="100"/>
        <v>12</v>
      </c>
      <c r="C1423" s="6">
        <v>44274</v>
      </c>
      <c r="D1423" s="7">
        <v>1750</v>
      </c>
    </row>
    <row r="1424" spans="1:4" x14ac:dyDescent="0.25">
      <c r="A1424" s="5">
        <f t="shared" si="99"/>
        <v>2021</v>
      </c>
      <c r="B1424" s="5">
        <f t="shared" si="100"/>
        <v>13</v>
      </c>
      <c r="C1424" s="6">
        <v>44281</v>
      </c>
      <c r="D1424" s="7">
        <v>1764</v>
      </c>
    </row>
    <row r="1425" spans="1:4" x14ac:dyDescent="0.25">
      <c r="A1425" s="5">
        <f t="shared" si="99"/>
        <v>2021</v>
      </c>
      <c r="B1425" s="5">
        <f t="shared" si="100"/>
        <v>14</v>
      </c>
      <c r="C1425" s="6">
        <v>44288</v>
      </c>
      <c r="D1425" s="7">
        <v>1784</v>
      </c>
    </row>
    <row r="1426" spans="1:4" x14ac:dyDescent="0.25">
      <c r="A1426" s="5">
        <f t="shared" si="99"/>
        <v>2021</v>
      </c>
      <c r="B1426" s="5">
        <f t="shared" si="100"/>
        <v>15</v>
      </c>
      <c r="C1426" s="6">
        <v>44295</v>
      </c>
      <c r="D1426" s="7">
        <v>1845</v>
      </c>
    </row>
    <row r="1427" spans="1:4" x14ac:dyDescent="0.25">
      <c r="A1427" s="5">
        <f t="shared" si="99"/>
        <v>2021</v>
      </c>
      <c r="B1427" s="5">
        <f t="shared" si="100"/>
        <v>16</v>
      </c>
      <c r="C1427" s="6">
        <v>44302</v>
      </c>
      <c r="D1427" s="7">
        <v>1883</v>
      </c>
    </row>
    <row r="1428" spans="1:4" x14ac:dyDescent="0.25">
      <c r="A1428" s="5">
        <f t="shared" si="99"/>
        <v>2021</v>
      </c>
      <c r="B1428" s="5">
        <f t="shared" si="100"/>
        <v>17</v>
      </c>
      <c r="C1428" s="6">
        <v>44309</v>
      </c>
      <c r="D1428" s="7">
        <v>1898</v>
      </c>
    </row>
    <row r="1429" spans="1:4" x14ac:dyDescent="0.25">
      <c r="A1429" s="5">
        <f t="shared" si="99"/>
        <v>2021</v>
      </c>
      <c r="B1429" s="5">
        <f t="shared" si="100"/>
        <v>18</v>
      </c>
      <c r="C1429" s="6">
        <v>44316</v>
      </c>
      <c r="D1429" s="7">
        <v>1958</v>
      </c>
    </row>
    <row r="1430" spans="1:4" x14ac:dyDescent="0.25">
      <c r="A1430" s="5">
        <f t="shared" si="99"/>
        <v>2021</v>
      </c>
      <c r="B1430" s="5">
        <f t="shared" si="100"/>
        <v>19</v>
      </c>
      <c r="C1430" s="6">
        <v>44323</v>
      </c>
      <c r="D1430" s="7">
        <v>2029</v>
      </c>
    </row>
    <row r="1431" spans="1:4" x14ac:dyDescent="0.25">
      <c r="A1431" s="5">
        <f t="shared" si="99"/>
        <v>2021</v>
      </c>
      <c r="B1431" s="5">
        <f t="shared" si="100"/>
        <v>20</v>
      </c>
      <c r="C1431" s="6">
        <v>44330</v>
      </c>
      <c r="D1431" s="7">
        <v>2100</v>
      </c>
    </row>
    <row r="1432" spans="1:4" x14ac:dyDescent="0.25">
      <c r="A1432" s="5">
        <f t="shared" si="99"/>
        <v>2021</v>
      </c>
      <c r="B1432" s="5">
        <f t="shared" si="100"/>
        <v>21</v>
      </c>
      <c r="C1432" s="6">
        <v>44337</v>
      </c>
      <c r="D1432" s="7">
        <v>2215</v>
      </c>
    </row>
    <row r="1433" spans="1:4" x14ac:dyDescent="0.25">
      <c r="A1433" s="5">
        <f t="shared" si="99"/>
        <v>2021</v>
      </c>
      <c r="B1433" s="5">
        <f t="shared" si="100"/>
        <v>22</v>
      </c>
      <c r="C1433" s="6">
        <v>44344</v>
      </c>
      <c r="D1433" s="7">
        <v>2313</v>
      </c>
    </row>
    <row r="1434" spans="1:4" x14ac:dyDescent="0.25">
      <c r="A1434" s="5">
        <f t="shared" si="99"/>
        <v>2021</v>
      </c>
      <c r="B1434" s="5">
        <f t="shared" si="100"/>
        <v>23</v>
      </c>
      <c r="C1434" s="6">
        <v>44351</v>
      </c>
      <c r="D1434" s="7">
        <v>2411</v>
      </c>
    </row>
    <row r="1435" spans="1:4" x14ac:dyDescent="0.25">
      <c r="A1435" s="5">
        <f t="shared" si="99"/>
        <v>2021</v>
      </c>
      <c r="B1435" s="5">
        <f t="shared" si="100"/>
        <v>24</v>
      </c>
      <c r="C1435" s="6">
        <v>44358</v>
      </c>
      <c r="D1435" s="7">
        <v>2427</v>
      </c>
    </row>
    <row r="1436" spans="1:4" x14ac:dyDescent="0.25">
      <c r="A1436" s="5">
        <f t="shared" si="99"/>
        <v>2021</v>
      </c>
      <c r="B1436" s="5">
        <f t="shared" si="100"/>
        <v>25</v>
      </c>
      <c r="C1436" s="6">
        <v>44365</v>
      </c>
      <c r="D1436" s="7">
        <v>2482</v>
      </c>
    </row>
    <row r="1437" spans="1:4" x14ac:dyDescent="0.25">
      <c r="A1437" s="5">
        <f t="shared" si="99"/>
        <v>2021</v>
      </c>
      <c r="B1437" s="5">
        <f t="shared" si="100"/>
        <v>26</v>
      </c>
      <c r="C1437" s="6">
        <v>44372</v>
      </c>
      <c r="D1437" s="7">
        <v>2558</v>
      </c>
    </row>
    <row r="1438" spans="1:4" x14ac:dyDescent="0.25">
      <c r="A1438" s="5">
        <f t="shared" si="99"/>
        <v>2021</v>
      </c>
      <c r="B1438" s="5">
        <f t="shared" si="100"/>
        <v>27</v>
      </c>
      <c r="C1438" s="6">
        <v>44379</v>
      </c>
      <c r="D1438" s="7">
        <v>2574</v>
      </c>
    </row>
    <row r="1439" spans="1:4" x14ac:dyDescent="0.25">
      <c r="A1439" s="5">
        <f t="shared" si="99"/>
        <v>2021</v>
      </c>
      <c r="B1439" s="5">
        <f t="shared" si="100"/>
        <v>28</v>
      </c>
      <c r="C1439" s="6">
        <v>44386</v>
      </c>
      <c r="D1439" s="7">
        <v>2629</v>
      </c>
    </row>
    <row r="1440" spans="1:4" x14ac:dyDescent="0.25">
      <c r="A1440" s="5">
        <f t="shared" si="99"/>
        <v>2021</v>
      </c>
      <c r="B1440" s="5">
        <f t="shared" si="100"/>
        <v>29</v>
      </c>
      <c r="C1440" s="6">
        <v>44393</v>
      </c>
      <c r="D1440" s="7">
        <v>2678</v>
      </c>
    </row>
    <row r="1441" spans="1:4" x14ac:dyDescent="0.25">
      <c r="A1441" s="5">
        <f t="shared" si="99"/>
        <v>2021</v>
      </c>
      <c r="B1441" s="5">
        <f t="shared" si="100"/>
        <v>30</v>
      </c>
      <c r="C1441" s="6">
        <v>44400</v>
      </c>
      <c r="D1441" s="7">
        <v>2714</v>
      </c>
    </row>
    <row r="1442" spans="1:4" x14ac:dyDescent="0.25">
      <c r="A1442" s="5">
        <f t="shared" si="99"/>
        <v>2021</v>
      </c>
      <c r="B1442" s="5">
        <f t="shared" si="100"/>
        <v>31</v>
      </c>
      <c r="C1442" s="6">
        <v>44407</v>
      </c>
      <c r="D1442" s="7">
        <v>2727</v>
      </c>
    </row>
    <row r="1443" spans="1:4" x14ac:dyDescent="0.25">
      <c r="A1443" s="5">
        <f t="shared" si="99"/>
        <v>2021</v>
      </c>
      <c r="B1443" s="5">
        <f t="shared" si="100"/>
        <v>32</v>
      </c>
      <c r="C1443" s="6">
        <v>44414</v>
      </c>
      <c r="D1443" s="7">
        <v>2776</v>
      </c>
    </row>
    <row r="1444" spans="1:4" x14ac:dyDescent="0.25">
      <c r="A1444" s="5">
        <f t="shared" si="99"/>
        <v>2021</v>
      </c>
      <c r="B1444" s="5">
        <f t="shared" si="100"/>
        <v>33</v>
      </c>
      <c r="C1444" s="6">
        <v>44421</v>
      </c>
      <c r="D1444" s="7">
        <v>2822</v>
      </c>
    </row>
    <row r="1445" spans="1:4" x14ac:dyDescent="0.25">
      <c r="A1445" s="5">
        <f t="shared" si="99"/>
        <v>2021</v>
      </c>
      <c r="B1445" s="5">
        <f t="shared" si="100"/>
        <v>34</v>
      </c>
      <c r="C1445" s="6">
        <v>44428</v>
      </c>
      <c r="D1445" s="7">
        <v>2851</v>
      </c>
    </row>
    <row r="1446" spans="1:4" x14ac:dyDescent="0.25">
      <c r="A1446" s="5">
        <f t="shared" si="99"/>
        <v>2021</v>
      </c>
      <c r="B1446" s="5">
        <f t="shared" si="100"/>
        <v>35</v>
      </c>
      <c r="C1446" s="6">
        <v>44435</v>
      </c>
      <c r="D1446" s="7">
        <v>2871</v>
      </c>
    </row>
    <row r="1447" spans="1:4" x14ac:dyDescent="0.25">
      <c r="A1447" s="5">
        <f t="shared" si="99"/>
        <v>2021</v>
      </c>
      <c r="B1447" s="5">
        <f t="shared" si="100"/>
        <v>36</v>
      </c>
      <c r="C1447" s="6">
        <v>44442</v>
      </c>
      <c r="D1447" s="7">
        <v>2923</v>
      </c>
    </row>
    <row r="1448" spans="1:4" x14ac:dyDescent="0.25">
      <c r="A1448" s="5">
        <f t="shared" si="99"/>
        <v>2021</v>
      </c>
      <c r="B1448" s="5">
        <f t="shared" si="100"/>
        <v>37</v>
      </c>
      <c r="C1448" s="6">
        <v>44449</v>
      </c>
      <c r="D1448" s="7">
        <v>3006</v>
      </c>
    </row>
    <row r="1449" spans="1:4" x14ac:dyDescent="0.25">
      <c r="A1449" s="5">
        <f t="shared" si="99"/>
        <v>2021</v>
      </c>
      <c r="B1449" s="5">
        <f t="shared" si="100"/>
        <v>38</v>
      </c>
      <c r="C1449" s="6">
        <v>44456</v>
      </c>
      <c r="D1449" s="7">
        <v>3082</v>
      </c>
    </row>
    <row r="1450" spans="1:4" x14ac:dyDescent="0.25">
      <c r="A1450" s="5">
        <f t="shared" si="99"/>
        <v>2021</v>
      </c>
      <c r="B1450" s="5">
        <f t="shared" si="100"/>
        <v>39</v>
      </c>
      <c r="C1450" s="6">
        <v>44463</v>
      </c>
      <c r="D1450" s="7">
        <v>3170</v>
      </c>
    </row>
    <row r="1451" spans="1:4" x14ac:dyDescent="0.25">
      <c r="A1451" s="5">
        <f t="shared" si="99"/>
        <v>2021</v>
      </c>
      <c r="B1451" s="5">
        <f t="shared" si="100"/>
        <v>40</v>
      </c>
      <c r="C1451" s="6">
        <v>44470</v>
      </c>
      <c r="D1451" s="7">
        <v>3288</v>
      </c>
    </row>
    <row r="1452" spans="1:4" x14ac:dyDescent="0.25">
      <c r="A1452" s="5">
        <f t="shared" si="99"/>
        <v>2021</v>
      </c>
      <c r="B1452" s="5">
        <f t="shared" si="100"/>
        <v>41</v>
      </c>
      <c r="C1452" s="6">
        <v>44477</v>
      </c>
      <c r="D1452" s="7">
        <v>3369</v>
      </c>
    </row>
    <row r="1453" spans="1:4" x14ac:dyDescent="0.25">
      <c r="A1453" s="5">
        <f t="shared" si="99"/>
        <v>2021</v>
      </c>
      <c r="B1453" s="5">
        <f t="shared" si="100"/>
        <v>42</v>
      </c>
      <c r="C1453" s="6">
        <v>44484</v>
      </c>
      <c r="D1453" s="7">
        <v>3461</v>
      </c>
    </row>
    <row r="1454" spans="1:4" x14ac:dyDescent="0.25">
      <c r="A1454" s="5">
        <f t="shared" si="99"/>
        <v>2021</v>
      </c>
      <c r="B1454" s="5">
        <f t="shared" si="100"/>
        <v>43</v>
      </c>
      <c r="C1454" s="6">
        <v>44491</v>
      </c>
      <c r="D1454" s="7">
        <v>3548</v>
      </c>
    </row>
    <row r="1455" spans="1:4" x14ac:dyDescent="0.25">
      <c r="A1455" s="5">
        <f t="shared" si="99"/>
        <v>2021</v>
      </c>
      <c r="B1455" s="5">
        <f t="shared" si="100"/>
        <v>44</v>
      </c>
      <c r="C1455" s="6">
        <v>44498</v>
      </c>
      <c r="D1455" s="7">
        <v>3611</v>
      </c>
    </row>
    <row r="1456" spans="1:4" x14ac:dyDescent="0.25">
      <c r="A1456" s="5">
        <f t="shared" si="99"/>
        <v>2021</v>
      </c>
      <c r="B1456" s="5">
        <f t="shared" si="100"/>
        <v>45</v>
      </c>
      <c r="C1456" s="6">
        <v>44505</v>
      </c>
      <c r="D1456" s="7">
        <v>3618</v>
      </c>
    </row>
    <row r="1457" spans="1:4" x14ac:dyDescent="0.25">
      <c r="A1457" s="5">
        <f t="shared" si="99"/>
        <v>2021</v>
      </c>
      <c r="B1457" s="5">
        <f t="shared" si="100"/>
        <v>46</v>
      </c>
      <c r="C1457" s="6">
        <v>44512</v>
      </c>
      <c r="D1457" s="7">
        <v>3644</v>
      </c>
    </row>
    <row r="1458" spans="1:4" x14ac:dyDescent="0.25">
      <c r="A1458" s="5">
        <f t="shared" si="99"/>
        <v>2021</v>
      </c>
      <c r="B1458" s="5">
        <f t="shared" si="100"/>
        <v>47</v>
      </c>
      <c r="C1458" s="6">
        <v>44519</v>
      </c>
      <c r="D1458" s="7">
        <v>3623</v>
      </c>
    </row>
    <row r="1459" spans="1:4" x14ac:dyDescent="0.25">
      <c r="A1459" s="5">
        <f t="shared" si="99"/>
        <v>2021</v>
      </c>
      <c r="B1459" s="5">
        <f t="shared" si="100"/>
        <v>48</v>
      </c>
      <c r="C1459" s="6">
        <v>44526</v>
      </c>
      <c r="D1459" s="7">
        <v>3564</v>
      </c>
    </row>
    <row r="1460" spans="1:4" x14ac:dyDescent="0.25">
      <c r="A1460" s="5">
        <f t="shared" si="99"/>
        <v>2021</v>
      </c>
      <c r="B1460" s="5">
        <f t="shared" si="100"/>
        <v>49</v>
      </c>
      <c r="C1460" s="6">
        <v>44533</v>
      </c>
      <c r="D1460" s="7">
        <v>3505</v>
      </c>
    </row>
    <row r="1461" spans="1:4" x14ac:dyDescent="0.25">
      <c r="A1461" s="5">
        <f t="shared" si="99"/>
        <v>2021</v>
      </c>
      <c r="B1461" s="5">
        <f t="shared" si="100"/>
        <v>50</v>
      </c>
      <c r="C1461" s="6">
        <v>44540</v>
      </c>
      <c r="D1461" s="7">
        <v>3417</v>
      </c>
    </row>
    <row r="1462" spans="1:4" x14ac:dyDescent="0.25">
      <c r="A1462" s="5">
        <f t="shared" si="99"/>
        <v>2021</v>
      </c>
      <c r="B1462" s="5">
        <f t="shared" si="100"/>
        <v>51</v>
      </c>
      <c r="C1462" s="6">
        <v>44547</v>
      </c>
      <c r="D1462" s="7">
        <v>3362</v>
      </c>
    </row>
    <row r="1463" spans="1:4" x14ac:dyDescent="0.25">
      <c r="A1463" s="5">
        <f t="shared" si="99"/>
        <v>2021</v>
      </c>
      <c r="B1463" s="5">
        <f t="shared" si="100"/>
        <v>52</v>
      </c>
      <c r="C1463" s="6">
        <v>44554</v>
      </c>
      <c r="D1463" s="7">
        <v>3226</v>
      </c>
    </row>
    <row r="1464" spans="1:4" x14ac:dyDescent="0.25">
      <c r="A1464" s="5">
        <f t="shared" si="99"/>
        <v>2021</v>
      </c>
      <c r="B1464" s="5">
        <f t="shared" si="100"/>
        <v>53</v>
      </c>
      <c r="C1464" s="6">
        <v>44561</v>
      </c>
      <c r="D1464" s="7">
        <v>3195</v>
      </c>
    </row>
    <row r="1465" spans="1:4" x14ac:dyDescent="0.25">
      <c r="A1465" s="5">
        <f t="shared" si="99"/>
        <v>2022</v>
      </c>
      <c r="B1465" s="5">
        <f t="shared" si="100"/>
        <v>2</v>
      </c>
      <c r="C1465" s="6">
        <v>44568</v>
      </c>
      <c r="D1465" s="7">
        <v>3016</v>
      </c>
    </row>
    <row r="1466" spans="1:4" x14ac:dyDescent="0.25">
      <c r="A1466" s="5">
        <f t="shared" si="99"/>
        <v>2022</v>
      </c>
      <c r="B1466" s="5">
        <f t="shared" si="100"/>
        <v>3</v>
      </c>
      <c r="C1466" s="6">
        <v>44575</v>
      </c>
      <c r="D1466" s="7">
        <v>2810</v>
      </c>
    </row>
    <row r="1467" spans="1:4" x14ac:dyDescent="0.25">
      <c r="A1467" s="5">
        <f t="shared" si="99"/>
        <v>2022</v>
      </c>
      <c r="B1467" s="5">
        <f t="shared" si="100"/>
        <v>4</v>
      </c>
      <c r="C1467" s="6">
        <v>44582</v>
      </c>
      <c r="D1467" s="7">
        <v>2591</v>
      </c>
    </row>
    <row r="1468" spans="1:4" x14ac:dyDescent="0.25">
      <c r="A1468" s="5">
        <f t="shared" si="99"/>
        <v>2022</v>
      </c>
      <c r="B1468" s="5">
        <f t="shared" si="100"/>
        <v>5</v>
      </c>
      <c r="C1468" s="6">
        <v>44589</v>
      </c>
      <c r="D1468" s="7">
        <v>2323</v>
      </c>
    </row>
    <row r="1469" spans="1:4" x14ac:dyDescent="0.25">
      <c r="A1469" s="5">
        <f t="shared" ref="A1469:A1532" si="101">YEAR(C1469)</f>
        <v>2022</v>
      </c>
      <c r="B1469" s="5">
        <f t="shared" ref="B1469:B1532" si="102">WEEKNUM(C1469)</f>
        <v>6</v>
      </c>
      <c r="C1469" s="6">
        <v>44596</v>
      </c>
      <c r="D1469" s="7">
        <v>2101</v>
      </c>
    </row>
    <row r="1470" spans="1:4" x14ac:dyDescent="0.25">
      <c r="A1470" s="5">
        <f t="shared" si="101"/>
        <v>2022</v>
      </c>
      <c r="B1470" s="5">
        <f t="shared" si="102"/>
        <v>7</v>
      </c>
      <c r="C1470" s="6">
        <v>44603</v>
      </c>
      <c r="D1470" s="7">
        <v>1911</v>
      </c>
    </row>
    <row r="1471" spans="1:4" x14ac:dyDescent="0.25">
      <c r="A1471" s="5">
        <f t="shared" si="101"/>
        <v>2022</v>
      </c>
      <c r="B1471" s="5">
        <f t="shared" si="102"/>
        <v>8</v>
      </c>
      <c r="C1471" s="6">
        <v>44610</v>
      </c>
      <c r="D1471" s="7">
        <v>1782</v>
      </c>
    </row>
    <row r="1472" spans="1:4" x14ac:dyDescent="0.25">
      <c r="A1472" s="5">
        <f t="shared" si="101"/>
        <v>2022</v>
      </c>
      <c r="B1472" s="5">
        <f t="shared" si="102"/>
        <v>9</v>
      </c>
      <c r="C1472" s="6">
        <v>44617</v>
      </c>
      <c r="D1472" s="7">
        <v>1643</v>
      </c>
    </row>
    <row r="1473" spans="1:4" x14ac:dyDescent="0.25">
      <c r="A1473" s="5">
        <f t="shared" si="101"/>
        <v>2022</v>
      </c>
      <c r="B1473" s="5">
        <f t="shared" si="102"/>
        <v>10</v>
      </c>
      <c r="C1473" s="6">
        <v>44624</v>
      </c>
      <c r="D1473" s="7">
        <v>1519</v>
      </c>
    </row>
    <row r="1474" spans="1:4" x14ac:dyDescent="0.25">
      <c r="A1474" s="5">
        <f t="shared" si="101"/>
        <v>2022</v>
      </c>
      <c r="B1474" s="5">
        <f t="shared" si="102"/>
        <v>11</v>
      </c>
      <c r="C1474" s="6">
        <v>44631</v>
      </c>
      <c r="D1474" s="7">
        <v>1440</v>
      </c>
    </row>
    <row r="1475" spans="1:4" x14ac:dyDescent="0.25">
      <c r="A1475" s="5">
        <f t="shared" si="101"/>
        <v>2022</v>
      </c>
      <c r="B1475" s="5">
        <f t="shared" si="102"/>
        <v>12</v>
      </c>
      <c r="C1475" s="6">
        <v>44638</v>
      </c>
      <c r="D1475" s="7">
        <v>1389</v>
      </c>
    </row>
    <row r="1476" spans="1:4" x14ac:dyDescent="0.25">
      <c r="A1476" s="5">
        <f t="shared" si="101"/>
        <v>2022</v>
      </c>
      <c r="B1476" s="5">
        <f t="shared" si="102"/>
        <v>13</v>
      </c>
      <c r="C1476" s="6">
        <v>44645</v>
      </c>
      <c r="D1476" s="7">
        <v>1415</v>
      </c>
    </row>
    <row r="1477" spans="1:4" x14ac:dyDescent="0.25">
      <c r="A1477" s="5">
        <f t="shared" si="101"/>
        <v>2022</v>
      </c>
      <c r="B1477" s="5">
        <f t="shared" si="102"/>
        <v>14</v>
      </c>
      <c r="C1477" s="6">
        <v>44652</v>
      </c>
      <c r="D1477" s="7">
        <v>1382</v>
      </c>
    </row>
    <row r="1478" spans="1:4" x14ac:dyDescent="0.25">
      <c r="A1478" s="5">
        <f t="shared" si="101"/>
        <v>2022</v>
      </c>
      <c r="B1478" s="5">
        <f t="shared" si="102"/>
        <v>15</v>
      </c>
      <c r="C1478" s="6">
        <v>44659</v>
      </c>
      <c r="D1478" s="7">
        <v>1397</v>
      </c>
    </row>
    <row r="1479" spans="1:4" x14ac:dyDescent="0.25">
      <c r="A1479" s="5">
        <f t="shared" si="101"/>
        <v>2022</v>
      </c>
      <c r="B1479" s="5">
        <f t="shared" si="102"/>
        <v>16</v>
      </c>
      <c r="C1479" s="6">
        <v>44666</v>
      </c>
      <c r="D1479" s="7">
        <v>1450</v>
      </c>
    </row>
    <row r="1480" spans="1:4" x14ac:dyDescent="0.25">
      <c r="A1480" s="5">
        <f t="shared" si="101"/>
        <v>2022</v>
      </c>
      <c r="B1480" s="5">
        <f t="shared" si="102"/>
        <v>17</v>
      </c>
      <c r="C1480" s="6">
        <v>44673</v>
      </c>
      <c r="D1480" s="7">
        <v>1490</v>
      </c>
    </row>
    <row r="1481" spans="1:4" x14ac:dyDescent="0.25">
      <c r="A1481" s="5">
        <f t="shared" si="101"/>
        <v>2022</v>
      </c>
      <c r="B1481" s="5">
        <f t="shared" si="102"/>
        <v>18</v>
      </c>
      <c r="C1481" s="6">
        <v>44680</v>
      </c>
      <c r="D1481" s="7">
        <v>1567</v>
      </c>
    </row>
    <row r="1482" spans="1:4" x14ac:dyDescent="0.25">
      <c r="A1482" s="5">
        <f t="shared" si="101"/>
        <v>2022</v>
      </c>
      <c r="B1482" s="5">
        <f t="shared" si="102"/>
        <v>19</v>
      </c>
      <c r="C1482" s="6">
        <v>44687</v>
      </c>
      <c r="D1482" s="7">
        <v>1643</v>
      </c>
    </row>
    <row r="1483" spans="1:4" x14ac:dyDescent="0.25">
      <c r="A1483" s="5">
        <f t="shared" si="101"/>
        <v>2022</v>
      </c>
      <c r="B1483" s="5">
        <f t="shared" si="102"/>
        <v>20</v>
      </c>
      <c r="C1483" s="6">
        <v>44694</v>
      </c>
      <c r="D1483" s="7">
        <v>1732</v>
      </c>
    </row>
    <row r="1484" spans="1:4" x14ac:dyDescent="0.25">
      <c r="A1484" s="5">
        <f t="shared" si="101"/>
        <v>2022</v>
      </c>
      <c r="B1484" s="5">
        <f t="shared" si="102"/>
        <v>21</v>
      </c>
      <c r="C1484" s="6">
        <v>44701</v>
      </c>
      <c r="D1484" s="7">
        <v>1819</v>
      </c>
    </row>
    <row r="1485" spans="1:4" x14ac:dyDescent="0.25">
      <c r="A1485" s="5">
        <f t="shared" si="101"/>
        <v>2022</v>
      </c>
      <c r="B1485" s="5">
        <f t="shared" si="102"/>
        <v>22</v>
      </c>
      <c r="C1485" s="6">
        <v>44708</v>
      </c>
      <c r="D1485" s="7">
        <v>1901</v>
      </c>
    </row>
    <row r="1486" spans="1:4" x14ac:dyDescent="0.25">
      <c r="A1486" s="5">
        <f t="shared" si="101"/>
        <v>2022</v>
      </c>
      <c r="B1486" s="5">
        <f t="shared" si="102"/>
        <v>23</v>
      </c>
      <c r="C1486" s="6">
        <v>44715</v>
      </c>
      <c r="D1486" s="7">
        <v>2003</v>
      </c>
    </row>
    <row r="1487" spans="1:4" x14ac:dyDescent="0.25">
      <c r="A1487" s="5">
        <f t="shared" si="101"/>
        <v>2022</v>
      </c>
      <c r="B1487" s="5">
        <f t="shared" si="102"/>
        <v>24</v>
      </c>
      <c r="C1487" s="6">
        <v>44722</v>
      </c>
      <c r="D1487" s="7">
        <v>2095</v>
      </c>
    </row>
    <row r="1488" spans="1:4" x14ac:dyDescent="0.25">
      <c r="A1488" s="5">
        <f t="shared" si="101"/>
        <v>2022</v>
      </c>
      <c r="B1488" s="5">
        <f t="shared" si="102"/>
        <v>25</v>
      </c>
      <c r="C1488" s="6">
        <v>44729</v>
      </c>
      <c r="D1488" s="7">
        <v>2169</v>
      </c>
    </row>
    <row r="1489" spans="1:4" x14ac:dyDescent="0.25">
      <c r="A1489" s="5">
        <f t="shared" si="101"/>
        <v>2022</v>
      </c>
      <c r="B1489" s="5">
        <f t="shared" si="102"/>
        <v>26</v>
      </c>
      <c r="C1489" s="6">
        <v>44736</v>
      </c>
      <c r="D1489" s="7">
        <v>2251</v>
      </c>
    </row>
    <row r="1490" spans="1:4" x14ac:dyDescent="0.25">
      <c r="A1490" s="5">
        <f t="shared" si="101"/>
        <v>2022</v>
      </c>
      <c r="B1490" s="5">
        <f t="shared" si="102"/>
        <v>27</v>
      </c>
      <c r="C1490" s="6">
        <v>44743</v>
      </c>
      <c r="D1490" s="7">
        <v>2311</v>
      </c>
    </row>
    <row r="1491" spans="1:4" x14ac:dyDescent="0.25">
      <c r="A1491" s="5">
        <f t="shared" si="101"/>
        <v>2022</v>
      </c>
      <c r="B1491" s="5">
        <f t="shared" si="102"/>
        <v>28</v>
      </c>
      <c r="C1491" s="6">
        <v>44750</v>
      </c>
      <c r="D1491" s="7">
        <v>2369</v>
      </c>
    </row>
    <row r="1492" spans="1:4" x14ac:dyDescent="0.25">
      <c r="A1492" s="5">
        <f t="shared" si="101"/>
        <v>2022</v>
      </c>
      <c r="B1492" s="5">
        <f t="shared" si="102"/>
        <v>29</v>
      </c>
      <c r="C1492" s="6">
        <v>44757</v>
      </c>
      <c r="D1492" s="7">
        <v>2401</v>
      </c>
    </row>
    <row r="1493" spans="1:4" x14ac:dyDescent="0.25">
      <c r="A1493" s="5">
        <f t="shared" si="101"/>
        <v>2022</v>
      </c>
      <c r="B1493" s="5">
        <f t="shared" si="102"/>
        <v>30</v>
      </c>
      <c r="C1493" s="6">
        <v>44764</v>
      </c>
      <c r="D1493" s="7">
        <v>2416</v>
      </c>
    </row>
    <row r="1494" spans="1:4" x14ac:dyDescent="0.25">
      <c r="A1494" s="5">
        <f t="shared" si="101"/>
        <v>2022</v>
      </c>
      <c r="B1494" s="5">
        <f t="shared" si="102"/>
        <v>31</v>
      </c>
      <c r="C1494" s="6">
        <v>44771</v>
      </c>
      <c r="D1494" s="7">
        <v>2457</v>
      </c>
    </row>
    <row r="1495" spans="1:4" x14ac:dyDescent="0.25">
      <c r="A1495" s="5">
        <f t="shared" si="101"/>
        <v>2022</v>
      </c>
      <c r="B1495" s="5">
        <f t="shared" si="102"/>
        <v>32</v>
      </c>
      <c r="C1495" s="6">
        <v>44778</v>
      </c>
      <c r="D1495" s="7">
        <v>2501</v>
      </c>
    </row>
    <row r="1496" spans="1:4" x14ac:dyDescent="0.25">
      <c r="A1496" s="5">
        <f t="shared" si="101"/>
        <v>2022</v>
      </c>
      <c r="B1496" s="5">
        <f t="shared" si="102"/>
        <v>33</v>
      </c>
      <c r="C1496" s="6">
        <v>44785</v>
      </c>
      <c r="D1496" s="7">
        <v>2519</v>
      </c>
    </row>
    <row r="1497" spans="1:4" x14ac:dyDescent="0.25">
      <c r="A1497" s="5">
        <f t="shared" si="101"/>
        <v>2022</v>
      </c>
      <c r="B1497" s="5">
        <f t="shared" si="102"/>
        <v>34</v>
      </c>
      <c r="C1497" s="6">
        <v>44792</v>
      </c>
      <c r="D1497" s="7">
        <v>2579</v>
      </c>
    </row>
    <row r="1498" spans="1:4" x14ac:dyDescent="0.25">
      <c r="A1498" s="5">
        <f t="shared" si="101"/>
        <v>2022</v>
      </c>
      <c r="B1498" s="5">
        <f t="shared" si="102"/>
        <v>35</v>
      </c>
      <c r="C1498" s="6">
        <v>44799</v>
      </c>
      <c r="D1498" s="7">
        <v>2640</v>
      </c>
    </row>
    <row r="1499" spans="1:4" x14ac:dyDescent="0.25">
      <c r="A1499" s="5">
        <f t="shared" si="101"/>
        <v>2022</v>
      </c>
      <c r="B1499" s="5">
        <f t="shared" si="102"/>
        <v>36</v>
      </c>
      <c r="C1499" s="6">
        <v>44806</v>
      </c>
      <c r="D1499" s="7">
        <v>2694</v>
      </c>
    </row>
    <row r="1500" spans="1:4" x14ac:dyDescent="0.25">
      <c r="A1500" s="5">
        <f t="shared" si="101"/>
        <v>2022</v>
      </c>
      <c r="B1500" s="5">
        <f t="shared" si="102"/>
        <v>37</v>
      </c>
      <c r="C1500" s="6">
        <v>44813</v>
      </c>
      <c r="D1500" s="7">
        <v>2771</v>
      </c>
    </row>
    <row r="1501" spans="1:4" x14ac:dyDescent="0.25">
      <c r="A1501" s="5">
        <f t="shared" si="101"/>
        <v>2022</v>
      </c>
      <c r="B1501" s="5">
        <f t="shared" si="102"/>
        <v>38</v>
      </c>
      <c r="C1501" s="6">
        <v>44820</v>
      </c>
      <c r="D1501" s="7">
        <v>2874</v>
      </c>
    </row>
    <row r="1502" spans="1:4" x14ac:dyDescent="0.25">
      <c r="A1502" s="5">
        <f t="shared" si="101"/>
        <v>2022</v>
      </c>
      <c r="B1502" s="5">
        <f t="shared" si="102"/>
        <v>39</v>
      </c>
      <c r="C1502" s="6">
        <v>44827</v>
      </c>
      <c r="D1502" s="7">
        <v>2977</v>
      </c>
    </row>
    <row r="1503" spans="1:4" x14ac:dyDescent="0.25">
      <c r="A1503" s="5">
        <f t="shared" si="101"/>
        <v>2022</v>
      </c>
      <c r="B1503" s="5">
        <f t="shared" si="102"/>
        <v>40</v>
      </c>
      <c r="C1503" s="6">
        <v>44834</v>
      </c>
      <c r="D1503" s="7">
        <v>3106</v>
      </c>
    </row>
    <row r="1504" spans="1:4" x14ac:dyDescent="0.25">
      <c r="A1504" s="5">
        <f t="shared" si="101"/>
        <v>2022</v>
      </c>
      <c r="B1504" s="5">
        <f t="shared" si="102"/>
        <v>41</v>
      </c>
      <c r="C1504" s="6">
        <v>44841</v>
      </c>
      <c r="D1504" s="7">
        <v>3231</v>
      </c>
    </row>
    <row r="1505" spans="1:4" x14ac:dyDescent="0.25">
      <c r="A1505" s="5">
        <f t="shared" si="101"/>
        <v>2022</v>
      </c>
      <c r="B1505" s="5">
        <f t="shared" si="102"/>
        <v>42</v>
      </c>
      <c r="C1505" s="6">
        <v>44848</v>
      </c>
      <c r="D1505" s="7">
        <v>3342</v>
      </c>
    </row>
    <row r="1506" spans="1:4" x14ac:dyDescent="0.25">
      <c r="A1506" s="5">
        <f t="shared" si="101"/>
        <v>2022</v>
      </c>
      <c r="B1506" s="5">
        <f t="shared" si="102"/>
        <v>43</v>
      </c>
      <c r="C1506" s="6">
        <v>44855</v>
      </c>
      <c r="D1506" s="7">
        <v>3394</v>
      </c>
    </row>
    <row r="1507" spans="1:4" x14ac:dyDescent="0.25">
      <c r="A1507" s="5">
        <f t="shared" si="101"/>
        <v>2022</v>
      </c>
      <c r="B1507" s="5">
        <f t="shared" si="102"/>
        <v>44</v>
      </c>
      <c r="C1507" s="6">
        <v>44862</v>
      </c>
      <c r="D1507" s="7">
        <v>3501</v>
      </c>
    </row>
    <row r="1508" spans="1:4" x14ac:dyDescent="0.25">
      <c r="A1508" s="5">
        <f t="shared" si="101"/>
        <v>2022</v>
      </c>
      <c r="B1508" s="5">
        <f t="shared" si="102"/>
        <v>45</v>
      </c>
      <c r="C1508" s="6">
        <v>44869</v>
      </c>
      <c r="D1508" s="7">
        <v>3580</v>
      </c>
    </row>
    <row r="1509" spans="1:4" x14ac:dyDescent="0.25">
      <c r="A1509" s="5">
        <f t="shared" si="101"/>
        <v>2022</v>
      </c>
      <c r="B1509" s="5">
        <f t="shared" si="102"/>
        <v>46</v>
      </c>
      <c r="C1509" s="6">
        <v>44876</v>
      </c>
      <c r="D1509" s="7">
        <v>3644</v>
      </c>
    </row>
    <row r="1510" spans="1:4" x14ac:dyDescent="0.25">
      <c r="A1510" s="5">
        <f t="shared" si="101"/>
        <v>2022</v>
      </c>
      <c r="B1510" s="5">
        <f t="shared" si="102"/>
        <v>47</v>
      </c>
      <c r="C1510" s="6">
        <v>44883</v>
      </c>
      <c r="D1510" s="7">
        <v>3564</v>
      </c>
    </row>
    <row r="1511" spans="1:4" x14ac:dyDescent="0.25">
      <c r="A1511" s="5">
        <f t="shared" si="101"/>
        <v>2022</v>
      </c>
      <c r="B1511" s="5">
        <f t="shared" si="102"/>
        <v>48</v>
      </c>
      <c r="C1511" s="6">
        <v>44890</v>
      </c>
      <c r="D1511" s="7">
        <v>3483</v>
      </c>
    </row>
    <row r="1512" spans="1:4" x14ac:dyDescent="0.25">
      <c r="A1512" s="5">
        <f t="shared" si="101"/>
        <v>2022</v>
      </c>
      <c r="B1512" s="5">
        <f t="shared" si="102"/>
        <v>49</v>
      </c>
      <c r="C1512" s="6">
        <v>44897</v>
      </c>
      <c r="D1512" s="7">
        <v>3462</v>
      </c>
    </row>
    <row r="1513" spans="1:4" x14ac:dyDescent="0.25">
      <c r="A1513" s="5">
        <f t="shared" si="101"/>
        <v>2022</v>
      </c>
      <c r="B1513" s="5">
        <f t="shared" si="102"/>
        <v>50</v>
      </c>
      <c r="C1513" s="6">
        <v>44904</v>
      </c>
      <c r="D1513" s="7">
        <v>3412</v>
      </c>
    </row>
    <row r="1514" spans="1:4" x14ac:dyDescent="0.25">
      <c r="A1514" s="5">
        <f t="shared" si="101"/>
        <v>2022</v>
      </c>
      <c r="B1514" s="5">
        <f t="shared" si="102"/>
        <v>51</v>
      </c>
      <c r="C1514" s="6">
        <v>44911</v>
      </c>
      <c r="D1514" s="7">
        <v>3325</v>
      </c>
    </row>
    <row r="1515" spans="1:4" x14ac:dyDescent="0.25">
      <c r="A1515" s="5">
        <f t="shared" si="101"/>
        <v>2022</v>
      </c>
      <c r="B1515" s="5">
        <f t="shared" si="102"/>
        <v>52</v>
      </c>
      <c r="C1515" s="6">
        <v>44918</v>
      </c>
      <c r="D1515" s="7">
        <v>3112</v>
      </c>
    </row>
    <row r="1516" spans="1:4" x14ac:dyDescent="0.25">
      <c r="A1516" s="5">
        <f t="shared" si="101"/>
        <v>2022</v>
      </c>
      <c r="B1516" s="5">
        <f t="shared" si="102"/>
        <v>53</v>
      </c>
      <c r="C1516" s="6">
        <v>44925</v>
      </c>
      <c r="D1516" s="7">
        <v>2891</v>
      </c>
    </row>
    <row r="1517" spans="1:4" x14ac:dyDescent="0.25">
      <c r="A1517" s="5">
        <f t="shared" si="101"/>
        <v>2023</v>
      </c>
      <c r="B1517" s="5">
        <f t="shared" si="102"/>
        <v>1</v>
      </c>
      <c r="C1517" s="6">
        <v>44932</v>
      </c>
      <c r="D1517" s="7">
        <v>2902</v>
      </c>
    </row>
    <row r="1518" spans="1:4" x14ac:dyDescent="0.25">
      <c r="A1518" s="5">
        <f t="shared" si="101"/>
        <v>2023</v>
      </c>
      <c r="B1518" s="5">
        <f t="shared" si="102"/>
        <v>2</v>
      </c>
      <c r="C1518" s="6">
        <v>44939</v>
      </c>
      <c r="D1518" s="7">
        <v>2820</v>
      </c>
    </row>
    <row r="1519" spans="1:4" x14ac:dyDescent="0.25">
      <c r="A1519" s="5">
        <f t="shared" si="101"/>
        <v>2023</v>
      </c>
      <c r="B1519" s="5">
        <f t="shared" si="102"/>
        <v>3</v>
      </c>
      <c r="C1519" s="6">
        <v>44946</v>
      </c>
      <c r="D1519" s="7">
        <v>2734</v>
      </c>
    </row>
    <row r="1520" spans="1:4" x14ac:dyDescent="0.25">
      <c r="A1520" s="5">
        <f t="shared" si="101"/>
        <v>2023</v>
      </c>
      <c r="B1520" s="5">
        <f t="shared" si="102"/>
        <v>4</v>
      </c>
      <c r="C1520" s="6">
        <v>44953</v>
      </c>
      <c r="D1520" s="7">
        <v>2583</v>
      </c>
    </row>
    <row r="1521" spans="1:4" x14ac:dyDescent="0.25">
      <c r="A1521" s="5">
        <f t="shared" si="101"/>
        <v>2023</v>
      </c>
      <c r="B1521" s="5">
        <f t="shared" si="102"/>
        <v>5</v>
      </c>
      <c r="C1521" s="6">
        <v>44960</v>
      </c>
      <c r="D1521" s="7">
        <v>2366</v>
      </c>
    </row>
    <row r="1522" spans="1:4" x14ac:dyDescent="0.25">
      <c r="A1522" s="5">
        <f t="shared" si="101"/>
        <v>2023</v>
      </c>
      <c r="B1522" s="5">
        <f t="shared" si="102"/>
        <v>6</v>
      </c>
      <c r="C1522" s="6">
        <v>44967</v>
      </c>
      <c r="D1522" s="7">
        <v>2266</v>
      </c>
    </row>
    <row r="1523" spans="1:4" x14ac:dyDescent="0.25">
      <c r="A1523" s="5">
        <f t="shared" si="101"/>
        <v>2023</v>
      </c>
      <c r="B1523" s="5">
        <f t="shared" si="102"/>
        <v>7</v>
      </c>
      <c r="C1523" s="6">
        <v>44974</v>
      </c>
      <c r="D1523" s="7">
        <v>2195</v>
      </c>
    </row>
    <row r="1524" spans="1:4" x14ac:dyDescent="0.25">
      <c r="A1524" s="5">
        <f t="shared" si="101"/>
        <v>2023</v>
      </c>
      <c r="B1524" s="5">
        <f t="shared" si="102"/>
        <v>8</v>
      </c>
      <c r="C1524" s="6">
        <v>44981</v>
      </c>
      <c r="D1524" s="7">
        <v>2114</v>
      </c>
    </row>
    <row r="1525" spans="1:4" x14ac:dyDescent="0.25">
      <c r="A1525" s="5">
        <f t="shared" si="101"/>
        <v>2023</v>
      </c>
      <c r="B1525" s="5">
        <f t="shared" si="102"/>
        <v>9</v>
      </c>
      <c r="C1525" s="6">
        <v>44988</v>
      </c>
      <c r="D1525" s="7">
        <v>2030</v>
      </c>
    </row>
    <row r="1526" spans="1:4" x14ac:dyDescent="0.25">
      <c r="A1526" s="5">
        <f t="shared" si="101"/>
        <v>2023</v>
      </c>
      <c r="B1526" s="5">
        <f t="shared" si="102"/>
        <v>10</v>
      </c>
      <c r="C1526" s="6">
        <v>44995</v>
      </c>
      <c r="D1526" s="7">
        <v>1972</v>
      </c>
    </row>
    <row r="1527" spans="1:4" x14ac:dyDescent="0.25">
      <c r="A1527" s="5">
        <f t="shared" si="101"/>
        <v>2023</v>
      </c>
      <c r="B1527" s="5">
        <f t="shared" si="102"/>
        <v>11</v>
      </c>
      <c r="C1527" s="6">
        <v>45002</v>
      </c>
      <c r="D1527" s="7">
        <v>1900</v>
      </c>
    </row>
    <row r="1528" spans="1:4" x14ac:dyDescent="0.25">
      <c r="A1528" s="5">
        <f t="shared" si="101"/>
        <v>2023</v>
      </c>
      <c r="B1528" s="5">
        <f t="shared" si="102"/>
        <v>12</v>
      </c>
      <c r="C1528" s="6">
        <v>45009</v>
      </c>
      <c r="D1528" s="7">
        <v>1853</v>
      </c>
    </row>
    <row r="1529" spans="1:4" x14ac:dyDescent="0.25">
      <c r="A1529" s="5">
        <f t="shared" si="101"/>
        <v>2023</v>
      </c>
      <c r="B1529" s="5">
        <f t="shared" si="102"/>
        <v>13</v>
      </c>
      <c r="C1529" s="6">
        <v>45016</v>
      </c>
      <c r="D1529" s="7">
        <v>1830</v>
      </c>
    </row>
    <row r="1530" spans="1:4" x14ac:dyDescent="0.25">
      <c r="A1530" s="5">
        <f t="shared" si="101"/>
        <v>2023</v>
      </c>
      <c r="B1530" s="5">
        <f t="shared" si="102"/>
        <v>14</v>
      </c>
      <c r="C1530" s="6">
        <v>45023</v>
      </c>
      <c r="D1530" s="7">
        <v>1855</v>
      </c>
    </row>
    <row r="1531" spans="1:4" x14ac:dyDescent="0.25">
      <c r="A1531" s="5">
        <f t="shared" si="101"/>
        <v>2023</v>
      </c>
      <c r="B1531" s="5">
        <f t="shared" si="102"/>
        <v>15</v>
      </c>
      <c r="C1531" s="6">
        <v>45030</v>
      </c>
      <c r="D1531" s="7">
        <v>1930</v>
      </c>
    </row>
    <row r="1532" spans="1:4" x14ac:dyDescent="0.25">
      <c r="A1532" s="5">
        <f t="shared" si="101"/>
        <v>2023</v>
      </c>
      <c r="B1532" s="5">
        <f t="shared" si="102"/>
        <v>16</v>
      </c>
      <c r="C1532" s="6">
        <v>45037</v>
      </c>
      <c r="D1532" s="7">
        <v>2009</v>
      </c>
    </row>
    <row r="1533" spans="1:4" x14ac:dyDescent="0.25">
      <c r="A1533" s="5">
        <f t="shared" ref="A1533:A1596" si="103">YEAR(C1533)</f>
        <v>2023</v>
      </c>
      <c r="B1533" s="5">
        <f t="shared" ref="B1533:B1596" si="104">WEEKNUM(C1533)</f>
        <v>17</v>
      </c>
      <c r="C1533" s="6">
        <v>45044</v>
      </c>
      <c r="D1533" s="7">
        <v>2063</v>
      </c>
    </row>
    <row r="1534" spans="1:4" x14ac:dyDescent="0.25">
      <c r="A1534" s="5">
        <f t="shared" si="103"/>
        <v>2023</v>
      </c>
      <c r="B1534" s="5">
        <f t="shared" si="104"/>
        <v>18</v>
      </c>
      <c r="C1534" s="6">
        <v>45051</v>
      </c>
      <c r="D1534" s="7">
        <v>2141</v>
      </c>
    </row>
    <row r="1535" spans="1:4" x14ac:dyDescent="0.25">
      <c r="A1535" s="5">
        <f t="shared" si="103"/>
        <v>2023</v>
      </c>
      <c r="B1535" s="5">
        <f t="shared" si="104"/>
        <v>19</v>
      </c>
      <c r="C1535" s="6">
        <v>45058</v>
      </c>
      <c r="D1535" s="7">
        <v>2240</v>
      </c>
    </row>
    <row r="1536" spans="1:4" x14ac:dyDescent="0.25">
      <c r="A1536" s="5">
        <f t="shared" si="103"/>
        <v>2023</v>
      </c>
      <c r="B1536" s="5">
        <f t="shared" si="104"/>
        <v>20</v>
      </c>
      <c r="C1536" s="6">
        <v>45065</v>
      </c>
      <c r="D1536" s="7">
        <v>2336</v>
      </c>
    </row>
    <row r="1537" spans="1:4" x14ac:dyDescent="0.25">
      <c r="A1537" s="5">
        <f t="shared" si="103"/>
        <v>2023</v>
      </c>
      <c r="B1537" s="5">
        <f t="shared" si="104"/>
        <v>21</v>
      </c>
      <c r="C1537" s="6">
        <v>45072</v>
      </c>
      <c r="D1537" s="7">
        <v>2446</v>
      </c>
    </row>
    <row r="1538" spans="1:4" x14ac:dyDescent="0.25">
      <c r="A1538" s="5">
        <f t="shared" si="103"/>
        <v>2023</v>
      </c>
      <c r="B1538" s="5">
        <f t="shared" si="104"/>
        <v>22</v>
      </c>
      <c r="C1538" s="6">
        <v>45079</v>
      </c>
      <c r="D1538" s="7">
        <v>2550</v>
      </c>
    </row>
    <row r="1539" spans="1:4" x14ac:dyDescent="0.25">
      <c r="A1539" s="5">
        <f t="shared" si="103"/>
        <v>2023</v>
      </c>
      <c r="B1539" s="5">
        <f t="shared" si="104"/>
        <v>23</v>
      </c>
      <c r="C1539" s="6">
        <v>45086</v>
      </c>
      <c r="D1539" s="7">
        <v>2634</v>
      </c>
    </row>
    <row r="1540" spans="1:4" x14ac:dyDescent="0.25">
      <c r="A1540" s="5">
        <f t="shared" si="103"/>
        <v>2023</v>
      </c>
      <c r="B1540" s="5">
        <f t="shared" si="104"/>
        <v>24</v>
      </c>
      <c r="C1540" s="6">
        <v>45093</v>
      </c>
      <c r="D1540" s="7">
        <v>2729</v>
      </c>
    </row>
    <row r="1541" spans="1:4" x14ac:dyDescent="0.25">
      <c r="A1541" s="5">
        <f t="shared" si="103"/>
        <v>2023</v>
      </c>
      <c r="B1541" s="5">
        <f t="shared" si="104"/>
        <v>25</v>
      </c>
      <c r="C1541" s="6">
        <v>45100</v>
      </c>
      <c r="D1541" s="7">
        <v>2805</v>
      </c>
    </row>
    <row r="1542" spans="1:4" x14ac:dyDescent="0.25">
      <c r="A1542" s="5">
        <f t="shared" si="103"/>
        <v>2023</v>
      </c>
      <c r="B1542" s="5">
        <f t="shared" si="104"/>
        <v>26</v>
      </c>
      <c r="C1542" s="6">
        <v>45107</v>
      </c>
      <c r="D1542" s="7">
        <v>2881</v>
      </c>
    </row>
    <row r="1543" spans="1:4" x14ac:dyDescent="0.25">
      <c r="A1543" s="5">
        <f t="shared" si="103"/>
        <v>2023</v>
      </c>
      <c r="B1543" s="5">
        <f t="shared" si="104"/>
        <v>27</v>
      </c>
      <c r="C1543" s="6">
        <v>45114</v>
      </c>
      <c r="D1543" s="7">
        <v>2930</v>
      </c>
    </row>
    <row r="1544" spans="1:4" x14ac:dyDescent="0.25">
      <c r="A1544" s="5">
        <f t="shared" si="103"/>
        <v>2023</v>
      </c>
      <c r="B1544" s="5">
        <f t="shared" si="104"/>
        <v>28</v>
      </c>
      <c r="C1544" s="6">
        <v>45121</v>
      </c>
      <c r="D1544" s="7">
        <v>2971</v>
      </c>
    </row>
    <row r="1545" spans="1:4" x14ac:dyDescent="0.25">
      <c r="A1545" s="5">
        <f t="shared" si="103"/>
        <v>2023</v>
      </c>
      <c r="B1545" s="5">
        <f t="shared" si="104"/>
        <v>29</v>
      </c>
      <c r="C1545" s="6">
        <v>45128</v>
      </c>
      <c r="D1545" s="7">
        <v>2987</v>
      </c>
    </row>
    <row r="1546" spans="1:4" x14ac:dyDescent="0.25">
      <c r="A1546" s="5">
        <f t="shared" si="103"/>
        <v>2023</v>
      </c>
      <c r="B1546" s="5">
        <f t="shared" si="104"/>
        <v>30</v>
      </c>
      <c r="C1546" s="6">
        <v>45135</v>
      </c>
      <c r="D1546" s="7">
        <v>3001</v>
      </c>
    </row>
    <row r="1547" spans="1:4" x14ac:dyDescent="0.25">
      <c r="A1547" s="5">
        <f t="shared" si="103"/>
        <v>2023</v>
      </c>
      <c r="B1547" s="5">
        <f t="shared" si="104"/>
        <v>31</v>
      </c>
      <c r="C1547" s="6">
        <v>45142</v>
      </c>
      <c r="D1547" s="7">
        <v>3030</v>
      </c>
    </row>
    <row r="1548" spans="1:4" x14ac:dyDescent="0.25">
      <c r="A1548" s="5">
        <f t="shared" si="103"/>
        <v>2023</v>
      </c>
      <c r="B1548" s="5">
        <f t="shared" si="104"/>
        <v>32</v>
      </c>
      <c r="C1548" s="6">
        <v>45149</v>
      </c>
      <c r="D1548" s="7">
        <v>3065</v>
      </c>
    </row>
    <row r="1549" spans="1:4" x14ac:dyDescent="0.25">
      <c r="A1549" s="5">
        <f t="shared" si="103"/>
        <v>2023</v>
      </c>
      <c r="B1549" s="5">
        <f t="shared" si="104"/>
        <v>33</v>
      </c>
      <c r="C1549" s="6">
        <v>45156</v>
      </c>
      <c r="D1549" s="7">
        <v>3083</v>
      </c>
    </row>
    <row r="1550" spans="1:4" x14ac:dyDescent="0.25">
      <c r="A1550" s="5">
        <f t="shared" si="103"/>
        <v>2023</v>
      </c>
      <c r="B1550" s="5">
        <f t="shared" si="104"/>
        <v>34</v>
      </c>
      <c r="C1550" s="6">
        <v>45163</v>
      </c>
      <c r="D1550" s="7">
        <v>3115</v>
      </c>
    </row>
    <row r="1551" spans="1:4" x14ac:dyDescent="0.25">
      <c r="A1551" s="5">
        <f t="shared" si="103"/>
        <v>2023</v>
      </c>
      <c r="B1551" s="5">
        <f t="shared" si="104"/>
        <v>35</v>
      </c>
      <c r="C1551" s="6">
        <v>45170</v>
      </c>
      <c r="D1551" s="7">
        <v>3148</v>
      </c>
    </row>
    <row r="1552" spans="1:4" x14ac:dyDescent="0.25">
      <c r="A1552" s="5">
        <f t="shared" si="103"/>
        <v>2023</v>
      </c>
      <c r="B1552" s="5">
        <f t="shared" si="104"/>
        <v>36</v>
      </c>
      <c r="C1552" s="6">
        <v>45177</v>
      </c>
      <c r="D1552" s="7">
        <v>3205</v>
      </c>
    </row>
    <row r="1553" spans="1:4" x14ac:dyDescent="0.25">
      <c r="A1553" s="5">
        <f t="shared" si="103"/>
        <v>2023</v>
      </c>
      <c r="B1553" s="5">
        <f t="shared" si="104"/>
        <v>37</v>
      </c>
      <c r="C1553" s="6">
        <v>45184</v>
      </c>
      <c r="D1553" s="7">
        <v>3269</v>
      </c>
    </row>
    <row r="1554" spans="1:4" x14ac:dyDescent="0.25">
      <c r="A1554" s="5">
        <f t="shared" si="103"/>
        <v>2023</v>
      </c>
      <c r="B1554" s="5">
        <f t="shared" si="104"/>
        <v>38</v>
      </c>
      <c r="C1554" s="6">
        <v>45191</v>
      </c>
      <c r="D1554" s="7">
        <v>3359</v>
      </c>
    </row>
    <row r="1555" spans="1:4" x14ac:dyDescent="0.25">
      <c r="A1555" s="5">
        <f t="shared" si="103"/>
        <v>2023</v>
      </c>
      <c r="B1555" s="5">
        <f t="shared" si="104"/>
        <v>39</v>
      </c>
      <c r="C1555" s="6">
        <v>45198</v>
      </c>
      <c r="D1555" s="7">
        <v>3445</v>
      </c>
    </row>
    <row r="1556" spans="1:4" x14ac:dyDescent="0.25">
      <c r="A1556" s="5">
        <f t="shared" si="103"/>
        <v>2023</v>
      </c>
      <c r="B1556" s="5">
        <f t="shared" si="104"/>
        <v>40</v>
      </c>
      <c r="C1556" s="6">
        <v>45205</v>
      </c>
      <c r="D1556" s="7">
        <v>3529</v>
      </c>
    </row>
    <row r="1557" spans="1:4" x14ac:dyDescent="0.25">
      <c r="A1557" s="5">
        <f t="shared" si="103"/>
        <v>2023</v>
      </c>
      <c r="B1557" s="5">
        <f t="shared" si="104"/>
        <v>41</v>
      </c>
      <c r="C1557" s="6">
        <v>45212</v>
      </c>
      <c r="D1557" s="7">
        <v>3626</v>
      </c>
    </row>
    <row r="1558" spans="1:4" x14ac:dyDescent="0.25">
      <c r="A1558" s="5">
        <f t="shared" si="103"/>
        <v>2023</v>
      </c>
      <c r="B1558" s="5">
        <f t="shared" si="104"/>
        <v>42</v>
      </c>
      <c r="C1558" s="6">
        <v>45219</v>
      </c>
      <c r="D1558" s="7">
        <v>3700</v>
      </c>
    </row>
    <row r="1559" spans="1:4" x14ac:dyDescent="0.25">
      <c r="A1559" s="5">
        <f t="shared" si="103"/>
        <v>2023</v>
      </c>
      <c r="B1559" s="5">
        <f t="shared" si="104"/>
        <v>43</v>
      </c>
      <c r="C1559" s="6">
        <v>45226</v>
      </c>
      <c r="D1559" s="7">
        <v>3779</v>
      </c>
    </row>
    <row r="1560" spans="1:4" x14ac:dyDescent="0.25">
      <c r="A1560" s="5">
        <f t="shared" si="103"/>
        <v>2023</v>
      </c>
      <c r="B1560" s="5">
        <f t="shared" si="104"/>
        <v>44</v>
      </c>
      <c r="C1560" s="6">
        <v>45233</v>
      </c>
      <c r="D1560" s="7">
        <v>3773</v>
      </c>
    </row>
    <row r="1561" spans="1:4" x14ac:dyDescent="0.25">
      <c r="A1561" s="5">
        <f t="shared" si="103"/>
        <v>2023</v>
      </c>
      <c r="B1561" s="5">
        <f t="shared" si="104"/>
        <v>45</v>
      </c>
      <c r="C1561" s="6">
        <v>45240</v>
      </c>
      <c r="D1561" s="7">
        <v>3833</v>
      </c>
    </row>
    <row r="1562" spans="1:4" x14ac:dyDescent="0.25">
      <c r="A1562" s="5">
        <f t="shared" si="103"/>
        <v>2023</v>
      </c>
      <c r="B1562" s="5">
        <f t="shared" si="104"/>
        <v>46</v>
      </c>
      <c r="C1562" s="6">
        <v>45247</v>
      </c>
      <c r="D1562" s="7">
        <v>3826</v>
      </c>
    </row>
    <row r="1563" spans="1:4" x14ac:dyDescent="0.25">
      <c r="A1563" s="5">
        <f t="shared" si="103"/>
        <v>2023</v>
      </c>
      <c r="B1563" s="5">
        <f t="shared" si="104"/>
        <v>47</v>
      </c>
      <c r="C1563" s="6">
        <v>45254</v>
      </c>
      <c r="D1563" s="7">
        <v>3836</v>
      </c>
    </row>
    <row r="1564" spans="1:4" x14ac:dyDescent="0.25">
      <c r="A1564" s="5">
        <f t="shared" si="103"/>
        <v>2023</v>
      </c>
      <c r="B1564" s="5">
        <f t="shared" si="104"/>
        <v>48</v>
      </c>
      <c r="C1564" s="6">
        <v>45261</v>
      </c>
      <c r="D1564" s="7">
        <v>3719</v>
      </c>
    </row>
    <row r="1565" spans="1:4" x14ac:dyDescent="0.25">
      <c r="A1565" s="5">
        <f t="shared" si="103"/>
        <v>2023</v>
      </c>
      <c r="B1565" s="5">
        <f t="shared" si="104"/>
        <v>49</v>
      </c>
      <c r="C1565" s="6">
        <v>45268</v>
      </c>
      <c r="D1565" s="7">
        <v>3664</v>
      </c>
    </row>
    <row r="1566" spans="1:4" x14ac:dyDescent="0.25">
      <c r="A1566" s="5">
        <f t="shared" si="103"/>
        <v>2023</v>
      </c>
      <c r="B1566" s="5">
        <f t="shared" si="104"/>
        <v>50</v>
      </c>
      <c r="C1566" s="6">
        <v>45275</v>
      </c>
      <c r="D1566" s="7">
        <v>3577</v>
      </c>
    </row>
    <row r="1567" spans="1:4" x14ac:dyDescent="0.25">
      <c r="A1567" s="5">
        <f t="shared" si="103"/>
        <v>2023</v>
      </c>
      <c r="B1567" s="5">
        <f t="shared" si="104"/>
        <v>51</v>
      </c>
      <c r="C1567" s="6">
        <v>45282</v>
      </c>
      <c r="D1567" s="7">
        <v>3490</v>
      </c>
    </row>
    <row r="1568" spans="1:4" x14ac:dyDescent="0.25">
      <c r="A1568" s="5">
        <f t="shared" si="103"/>
        <v>2023</v>
      </c>
      <c r="B1568" s="5">
        <f t="shared" si="104"/>
        <v>52</v>
      </c>
      <c r="C1568" s="6">
        <v>45289</v>
      </c>
      <c r="D1568" s="7">
        <v>3476</v>
      </c>
    </row>
    <row r="1569" spans="1:4" x14ac:dyDescent="0.25">
      <c r="A1569" s="5">
        <f t="shared" si="103"/>
        <v>2024</v>
      </c>
      <c r="B1569" s="5">
        <f t="shared" si="104"/>
        <v>1</v>
      </c>
      <c r="C1569" s="6">
        <v>45296</v>
      </c>
      <c r="D1569" s="7">
        <v>3336</v>
      </c>
    </row>
    <row r="1570" spans="1:4" x14ac:dyDescent="0.25">
      <c r="A1570" s="5">
        <f t="shared" si="103"/>
        <v>2024</v>
      </c>
      <c r="B1570" s="5">
        <f t="shared" si="104"/>
        <v>2</v>
      </c>
      <c r="C1570" s="6">
        <v>45303</v>
      </c>
      <c r="D1570" s="7">
        <v>3182</v>
      </c>
    </row>
    <row r="1571" spans="1:4" x14ac:dyDescent="0.25">
      <c r="A1571" s="5">
        <f t="shared" si="103"/>
        <v>2024</v>
      </c>
      <c r="B1571" s="5">
        <f t="shared" si="104"/>
        <v>3</v>
      </c>
      <c r="C1571" s="6">
        <v>45310</v>
      </c>
      <c r="D1571" s="7">
        <v>2856</v>
      </c>
    </row>
    <row r="1572" spans="1:4" x14ac:dyDescent="0.25">
      <c r="A1572" s="5">
        <f t="shared" si="103"/>
        <v>2024</v>
      </c>
      <c r="B1572" s="5">
        <f t="shared" si="104"/>
        <v>4</v>
      </c>
      <c r="C1572" s="6">
        <v>45317</v>
      </c>
      <c r="D1572" s="7">
        <v>2659</v>
      </c>
    </row>
    <row r="1573" spans="1:4" x14ac:dyDescent="0.25">
      <c r="A1573" s="5">
        <f t="shared" si="103"/>
        <v>2024</v>
      </c>
      <c r="B1573" s="5">
        <f t="shared" si="104"/>
        <v>5</v>
      </c>
      <c r="C1573" s="6">
        <v>45324</v>
      </c>
      <c r="D1573" s="7">
        <v>2584</v>
      </c>
    </row>
    <row r="1574" spans="1:4" x14ac:dyDescent="0.25">
      <c r="A1574" s="5">
        <f t="shared" si="103"/>
        <v>2024</v>
      </c>
      <c r="B1574" s="5">
        <f t="shared" si="104"/>
        <v>6</v>
      </c>
      <c r="C1574" s="6">
        <v>45331</v>
      </c>
      <c r="D1574" s="7">
        <v>2530</v>
      </c>
    </row>
    <row r="1575" spans="1:4" x14ac:dyDescent="0.25">
      <c r="A1575" s="5">
        <f t="shared" si="103"/>
        <v>2024</v>
      </c>
      <c r="B1575" s="5">
        <f t="shared" si="104"/>
        <v>7</v>
      </c>
      <c r="C1575" s="6">
        <v>45338</v>
      </c>
      <c r="D1575" s="7">
        <v>2470</v>
      </c>
    </row>
    <row r="1576" spans="1:4" x14ac:dyDescent="0.25">
      <c r="A1576" s="5">
        <f t="shared" si="103"/>
        <v>2024</v>
      </c>
      <c r="B1576" s="5">
        <f t="shared" si="104"/>
        <v>8</v>
      </c>
      <c r="C1576" s="6">
        <v>45345</v>
      </c>
      <c r="D1576" s="7">
        <v>2374</v>
      </c>
    </row>
    <row r="1577" spans="1:4" x14ac:dyDescent="0.25">
      <c r="A1577" s="5">
        <f t="shared" si="103"/>
        <v>2024</v>
      </c>
      <c r="B1577" s="5">
        <f t="shared" si="104"/>
        <v>9</v>
      </c>
      <c r="C1577" s="6">
        <v>45352</v>
      </c>
      <c r="D1577" s="7">
        <v>2334</v>
      </c>
    </row>
    <row r="1578" spans="1:4" x14ac:dyDescent="0.25">
      <c r="A1578" s="5">
        <f t="shared" si="103"/>
        <v>2024</v>
      </c>
      <c r="B1578" s="5">
        <f t="shared" si="104"/>
        <v>10</v>
      </c>
      <c r="C1578" s="6">
        <v>45359</v>
      </c>
      <c r="D1578" s="7">
        <v>2325</v>
      </c>
    </row>
    <row r="1579" spans="1:4" x14ac:dyDescent="0.25">
      <c r="A1579" s="5">
        <f t="shared" si="103"/>
        <v>2024</v>
      </c>
      <c r="B1579" s="5">
        <f t="shared" si="104"/>
        <v>11</v>
      </c>
      <c r="C1579" s="6">
        <v>45366</v>
      </c>
      <c r="D1579" s="7">
        <v>2332</v>
      </c>
    </row>
    <row r="1580" spans="1:4" x14ac:dyDescent="0.25">
      <c r="A1580" s="5">
        <f t="shared" si="103"/>
        <v>2024</v>
      </c>
      <c r="B1580" s="5">
        <f t="shared" si="104"/>
        <v>12</v>
      </c>
      <c r="C1580" s="6">
        <v>45373</v>
      </c>
      <c r="D1580" s="7">
        <v>2296</v>
      </c>
    </row>
    <row r="1581" spans="1:4" x14ac:dyDescent="0.25">
      <c r="A1581" s="5">
        <f t="shared" si="103"/>
        <v>2024</v>
      </c>
      <c r="B1581" s="5">
        <f t="shared" si="104"/>
        <v>13</v>
      </c>
      <c r="C1581" s="6">
        <v>45380</v>
      </c>
      <c r="D1581" s="7">
        <v>2259</v>
      </c>
    </row>
    <row r="1582" spans="1:4" x14ac:dyDescent="0.25">
      <c r="A1582" s="5">
        <f t="shared" si="103"/>
        <v>2024</v>
      </c>
      <c r="B1582" s="5">
        <f t="shared" si="104"/>
        <v>14</v>
      </c>
      <c r="C1582" s="6">
        <v>45387</v>
      </c>
      <c r="D1582" s="7">
        <v>2283</v>
      </c>
    </row>
    <row r="1583" spans="1:4" x14ac:dyDescent="0.25">
      <c r="A1583" s="5">
        <f t="shared" si="103"/>
        <v>2024</v>
      </c>
      <c r="B1583" s="5">
        <f t="shared" si="104"/>
        <v>15</v>
      </c>
      <c r="C1583" s="6">
        <v>45394</v>
      </c>
      <c r="D1583" s="7">
        <v>2333</v>
      </c>
    </row>
    <row r="1584" spans="1:4" x14ac:dyDescent="0.25">
      <c r="A1584" s="5">
        <f t="shared" si="103"/>
        <v>2024</v>
      </c>
      <c r="B1584" s="5">
        <f t="shared" si="104"/>
        <v>16</v>
      </c>
      <c r="C1584" s="6">
        <v>45401</v>
      </c>
      <c r="D1584" s="7">
        <v>2425</v>
      </c>
    </row>
    <row r="1585" spans="1:4" x14ac:dyDescent="0.25">
      <c r="A1585" s="5">
        <f t="shared" si="103"/>
        <v>2024</v>
      </c>
      <c r="B1585" s="5">
        <f t="shared" si="104"/>
        <v>17</v>
      </c>
      <c r="C1585" s="6">
        <v>45408</v>
      </c>
      <c r="D1585" s="7">
        <v>2484</v>
      </c>
    </row>
    <row r="1586" spans="1:4" x14ac:dyDescent="0.25">
      <c r="A1586" s="5">
        <f t="shared" si="103"/>
        <v>2024</v>
      </c>
      <c r="B1586" s="5">
        <f t="shared" si="104"/>
        <v>18</v>
      </c>
      <c r="C1586" s="6">
        <v>45415</v>
      </c>
      <c r="D1586" s="7">
        <v>2569</v>
      </c>
    </row>
    <row r="1587" spans="1:4" x14ac:dyDescent="0.25">
      <c r="A1587" s="5">
        <f t="shared" si="103"/>
        <v>2024</v>
      </c>
      <c r="B1587" s="5">
        <f t="shared" si="104"/>
        <v>19</v>
      </c>
      <c r="C1587" s="6">
        <v>45422</v>
      </c>
      <c r="D1587" s="7">
        <v>2640</v>
      </c>
    </row>
    <row r="1588" spans="1:4" x14ac:dyDescent="0.25">
      <c r="A1588" s="5">
        <f t="shared" si="103"/>
        <v>2024</v>
      </c>
      <c r="B1588" s="5">
        <f t="shared" si="104"/>
        <v>20</v>
      </c>
      <c r="C1588" s="6">
        <v>45429</v>
      </c>
      <c r="D1588" s="7">
        <v>2719</v>
      </c>
    </row>
    <row r="1589" spans="1:4" x14ac:dyDescent="0.25">
      <c r="A1589" s="5">
        <f t="shared" si="103"/>
        <v>2024</v>
      </c>
      <c r="B1589" s="5">
        <f t="shared" si="104"/>
        <v>21</v>
      </c>
      <c r="C1589" s="6">
        <v>45436</v>
      </c>
      <c r="D1589" s="7">
        <v>2804</v>
      </c>
    </row>
    <row r="1590" spans="1:4" x14ac:dyDescent="0.25">
      <c r="A1590" s="5">
        <f t="shared" si="103"/>
        <v>2024</v>
      </c>
      <c r="B1590" s="5">
        <f t="shared" si="104"/>
        <v>22</v>
      </c>
      <c r="C1590" s="6">
        <v>45443</v>
      </c>
      <c r="D1590" s="7">
        <v>2900</v>
      </c>
    </row>
    <row r="1591" spans="1:4" x14ac:dyDescent="0.25">
      <c r="A1591" s="5">
        <f t="shared" si="103"/>
        <v>2024</v>
      </c>
      <c r="B1591" s="5">
        <f t="shared" si="104"/>
        <v>23</v>
      </c>
      <c r="C1591" s="6">
        <v>45450</v>
      </c>
      <c r="D1591" s="7">
        <v>2974</v>
      </c>
    </row>
    <row r="1592" spans="1:4" x14ac:dyDescent="0.25">
      <c r="A1592" s="5">
        <f t="shared" si="103"/>
        <v>2024</v>
      </c>
      <c r="B1592" s="5">
        <f t="shared" si="104"/>
        <v>24</v>
      </c>
      <c r="C1592" s="6">
        <v>45457</v>
      </c>
      <c r="D1592" s="7">
        <v>3045</v>
      </c>
    </row>
    <row r="1593" spans="1:4" x14ac:dyDescent="0.25">
      <c r="A1593" s="5">
        <f t="shared" si="103"/>
        <v>2024</v>
      </c>
      <c r="B1593" s="5">
        <f t="shared" si="104"/>
        <v>25</v>
      </c>
      <c r="C1593" s="6">
        <v>45464</v>
      </c>
      <c r="D1593" s="7">
        <v>3102</v>
      </c>
    </row>
    <row r="1594" spans="1:4" x14ac:dyDescent="0.25">
      <c r="A1594" s="5">
        <f t="shared" si="103"/>
        <v>2024</v>
      </c>
      <c r="B1594" s="5">
        <f t="shared" si="104"/>
        <v>26</v>
      </c>
      <c r="C1594" s="6">
        <v>45471</v>
      </c>
      <c r="D1594" s="7">
        <v>3134</v>
      </c>
    </row>
    <row r="1595" spans="1:4" x14ac:dyDescent="0.25">
      <c r="A1595" s="5">
        <f t="shared" si="103"/>
        <v>2024</v>
      </c>
      <c r="B1595" s="5">
        <f t="shared" si="104"/>
        <v>27</v>
      </c>
      <c r="C1595" s="6">
        <v>45478</v>
      </c>
      <c r="D1595" s="7">
        <v>3199</v>
      </c>
    </row>
    <row r="1596" spans="1:4" x14ac:dyDescent="0.25">
      <c r="A1596" s="5">
        <f t="shared" si="103"/>
        <v>2024</v>
      </c>
      <c r="B1596" s="5">
        <f t="shared" si="104"/>
        <v>28</v>
      </c>
      <c r="C1596" s="6">
        <v>45485</v>
      </c>
      <c r="D1596" s="7">
        <v>3209</v>
      </c>
    </row>
    <row r="1597" spans="1:4" x14ac:dyDescent="0.25">
      <c r="A1597" s="5">
        <f t="shared" ref="A1597:A1660" si="105">YEAR(C1597)</f>
        <v>2024</v>
      </c>
      <c r="B1597" s="5">
        <f t="shared" ref="B1597:B1660" si="106">WEEKNUM(C1597)</f>
        <v>29</v>
      </c>
      <c r="C1597" s="6">
        <v>45492</v>
      </c>
      <c r="D1597" s="7">
        <v>3231</v>
      </c>
    </row>
    <row r="1598" spans="1:4" x14ac:dyDescent="0.25">
      <c r="A1598" s="5">
        <f t="shared" si="105"/>
        <v>2024</v>
      </c>
      <c r="B1598" s="5">
        <f t="shared" si="106"/>
        <v>30</v>
      </c>
      <c r="C1598" s="6">
        <v>45499</v>
      </c>
      <c r="D1598" s="7">
        <v>3249</v>
      </c>
    </row>
    <row r="1599" spans="1:4" x14ac:dyDescent="0.25">
      <c r="A1599" s="5">
        <f t="shared" si="105"/>
        <v>2024</v>
      </c>
      <c r="B1599" s="5">
        <f t="shared" si="106"/>
        <v>31</v>
      </c>
      <c r="C1599" s="6">
        <v>45506</v>
      </c>
      <c r="D1599" s="7">
        <v>3270</v>
      </c>
    </row>
    <row r="1600" spans="1:4" x14ac:dyDescent="0.25">
      <c r="A1600" s="5">
        <f t="shared" si="105"/>
        <v>2024</v>
      </c>
      <c r="B1600" s="5">
        <f t="shared" si="106"/>
        <v>32</v>
      </c>
      <c r="C1600" s="6">
        <v>45513</v>
      </c>
      <c r="D1600" s="7">
        <v>3264</v>
      </c>
    </row>
    <row r="1601" spans="1:4" x14ac:dyDescent="0.25">
      <c r="A1601" s="5">
        <f t="shared" si="105"/>
        <v>2024</v>
      </c>
      <c r="B1601" s="5">
        <f t="shared" si="106"/>
        <v>33</v>
      </c>
      <c r="C1601" s="6">
        <v>45520</v>
      </c>
      <c r="D1601" s="7">
        <v>3299</v>
      </c>
    </row>
    <row r="1602" spans="1:4" x14ac:dyDescent="0.25">
      <c r="A1602" s="5">
        <f t="shared" si="105"/>
        <v>2024</v>
      </c>
      <c r="B1602" s="5">
        <f t="shared" si="106"/>
        <v>34</v>
      </c>
      <c r="C1602" s="6">
        <v>45527</v>
      </c>
      <c r="D1602" s="7">
        <v>3334</v>
      </c>
    </row>
    <row r="1603" spans="1:4" x14ac:dyDescent="0.25">
      <c r="A1603" s="5">
        <f t="shared" si="105"/>
        <v>2024</v>
      </c>
      <c r="B1603" s="5">
        <f t="shared" si="106"/>
        <v>35</v>
      </c>
      <c r="C1603" s="6">
        <v>45534</v>
      </c>
      <c r="D1603" s="7">
        <v>3347</v>
      </c>
    </row>
    <row r="1604" spans="1:4" x14ac:dyDescent="0.25">
      <c r="A1604" s="5">
        <f t="shared" si="105"/>
        <v>2024</v>
      </c>
      <c r="B1604" s="5">
        <f t="shared" si="106"/>
        <v>36</v>
      </c>
      <c r="C1604" s="6">
        <v>45541</v>
      </c>
      <c r="D1604" s="7">
        <v>3387</v>
      </c>
    </row>
    <row r="1605" spans="1:4" x14ac:dyDescent="0.25">
      <c r="A1605" s="5">
        <f t="shared" si="105"/>
        <v>2024</v>
      </c>
      <c r="B1605" s="5">
        <f t="shared" si="106"/>
        <v>37</v>
      </c>
      <c r="C1605" s="6">
        <v>45548</v>
      </c>
      <c r="D1605" s="7">
        <v>3445</v>
      </c>
    </row>
    <row r="1606" spans="1:4" x14ac:dyDescent="0.25">
      <c r="A1606" s="5">
        <f t="shared" si="105"/>
        <v>2024</v>
      </c>
      <c r="B1606" s="5">
        <f t="shared" si="106"/>
        <v>38</v>
      </c>
      <c r="C1606" s="6">
        <v>45555</v>
      </c>
      <c r="D1606" s="7">
        <v>3493</v>
      </c>
    </row>
    <row r="1607" spans="1:4" x14ac:dyDescent="0.25">
      <c r="A1607" s="5">
        <f t="shared" si="105"/>
        <v>2024</v>
      </c>
      <c r="B1607" s="5">
        <f t="shared" si="106"/>
        <v>39</v>
      </c>
      <c r="C1607" s="6">
        <v>45562</v>
      </c>
      <c r="D1607" s="7">
        <v>3548</v>
      </c>
    </row>
    <row r="1608" spans="1:4" x14ac:dyDescent="0.25">
      <c r="A1608" s="5">
        <f t="shared" si="105"/>
        <v>2024</v>
      </c>
      <c r="B1608" s="5">
        <f t="shared" si="106"/>
        <v>40</v>
      </c>
      <c r="C1608" s="6">
        <v>45569</v>
      </c>
      <c r="D1608" s="7">
        <v>3630</v>
      </c>
    </row>
    <row r="1609" spans="1:4" x14ac:dyDescent="0.25">
      <c r="A1609" s="5">
        <f t="shared" si="105"/>
        <v>2024</v>
      </c>
      <c r="B1609" s="5">
        <f t="shared" si="106"/>
        <v>41</v>
      </c>
      <c r="C1609" s="6">
        <v>45576</v>
      </c>
      <c r="D1609" s="7">
        <v>3706</v>
      </c>
    </row>
    <row r="1610" spans="1:4" x14ac:dyDescent="0.25">
      <c r="A1610" s="5">
        <f t="shared" si="105"/>
        <v>2024</v>
      </c>
      <c r="B1610" s="5">
        <f t="shared" si="106"/>
        <v>42</v>
      </c>
      <c r="C1610" s="6">
        <v>45583</v>
      </c>
      <c r="D1610" s="7">
        <v>3785</v>
      </c>
    </row>
    <row r="1611" spans="1:4" x14ac:dyDescent="0.25">
      <c r="A1611" s="5">
        <f t="shared" si="105"/>
        <v>2024</v>
      </c>
      <c r="B1611" s="5">
        <f t="shared" si="106"/>
        <v>43</v>
      </c>
      <c r="C1611" s="6">
        <v>45590</v>
      </c>
      <c r="D1611" s="7">
        <v>3864</v>
      </c>
    </row>
    <row r="1612" spans="1:4" x14ac:dyDescent="0.25">
      <c r="A1612" s="5">
        <f t="shared" si="105"/>
        <v>2024</v>
      </c>
      <c r="B1612" s="5">
        <f t="shared" si="106"/>
        <v>44</v>
      </c>
      <c r="C1612" s="6">
        <v>45597</v>
      </c>
      <c r="D1612" s="7">
        <v>3931</v>
      </c>
    </row>
    <row r="1613" spans="1:4" x14ac:dyDescent="0.25">
      <c r="A1613" s="5">
        <f t="shared" si="105"/>
        <v>2024</v>
      </c>
      <c r="B1613" s="5">
        <f t="shared" si="106"/>
        <v>45</v>
      </c>
      <c r="C1613" s="6">
        <v>45604</v>
      </c>
      <c r="D1613" s="7">
        <v>3972</v>
      </c>
    </row>
    <row r="1614" spans="1:4" x14ac:dyDescent="0.25">
      <c r="A1614" s="5">
        <f t="shared" si="105"/>
        <v>2024</v>
      </c>
      <c r="B1614" s="5">
        <f t="shared" si="106"/>
        <v>46</v>
      </c>
      <c r="C1614" s="6">
        <v>45611</v>
      </c>
      <c r="D1614" s="7">
        <v>3969</v>
      </c>
    </row>
    <row r="1615" spans="1:4" x14ac:dyDescent="0.25">
      <c r="A1615" s="5">
        <f t="shared" si="105"/>
        <v>2024</v>
      </c>
      <c r="B1615" s="5">
        <f t="shared" si="106"/>
        <v>47</v>
      </c>
      <c r="C1615" s="6">
        <v>45618</v>
      </c>
      <c r="D1615" s="7">
        <v>3967</v>
      </c>
    </row>
    <row r="1616" spans="1:4" x14ac:dyDescent="0.25">
      <c r="A1616" s="5">
        <f t="shared" si="105"/>
        <v>2024</v>
      </c>
      <c r="B1616" s="5">
        <f t="shared" si="106"/>
        <v>48</v>
      </c>
      <c r="C1616" s="6">
        <v>45625</v>
      </c>
      <c r="D1616" s="7">
        <v>3937</v>
      </c>
    </row>
    <row r="1617" spans="1:4" x14ac:dyDescent="0.25">
      <c r="A1617" s="5">
        <f t="shared" si="105"/>
        <v>2024</v>
      </c>
      <c r="B1617" s="5">
        <f t="shared" si="106"/>
        <v>49</v>
      </c>
      <c r="C1617" s="6">
        <v>45632</v>
      </c>
      <c r="D1617" s="7">
        <v>3747</v>
      </c>
    </row>
    <row r="1618" spans="1:4" x14ac:dyDescent="0.25">
      <c r="A1618" s="5">
        <f t="shared" si="105"/>
        <v>2024</v>
      </c>
      <c r="B1618" s="5">
        <f t="shared" si="106"/>
        <v>50</v>
      </c>
      <c r="C1618" s="6">
        <v>45639</v>
      </c>
      <c r="D1618" s="7">
        <v>3622</v>
      </c>
    </row>
    <row r="1619" spans="1:4" x14ac:dyDescent="0.25">
      <c r="A1619" s="5">
        <f t="shared" si="105"/>
        <v>2024</v>
      </c>
      <c r="B1619" s="5">
        <f t="shared" si="106"/>
        <v>51</v>
      </c>
      <c r="C1619" s="6">
        <v>45646</v>
      </c>
      <c r="D1619" s="7">
        <v>3529</v>
      </c>
    </row>
    <row r="1620" spans="1:4" x14ac:dyDescent="0.25">
      <c r="A1620" s="5">
        <f t="shared" si="105"/>
        <v>2024</v>
      </c>
      <c r="B1620" s="5">
        <f t="shared" si="106"/>
        <v>52</v>
      </c>
      <c r="C1620" s="6">
        <v>45653</v>
      </c>
      <c r="D1620" s="7">
        <v>3413</v>
      </c>
    </row>
    <row r="1621" spans="1:4" x14ac:dyDescent="0.25">
      <c r="A1621" s="5">
        <f t="shared" si="105"/>
        <v>2025</v>
      </c>
      <c r="B1621" s="5">
        <f t="shared" si="106"/>
        <v>1</v>
      </c>
      <c r="C1621" s="6">
        <v>45660</v>
      </c>
      <c r="D1621" s="7">
        <v>3373</v>
      </c>
    </row>
    <row r="1622" spans="1:4" x14ac:dyDescent="0.25">
      <c r="A1622" s="5">
        <f t="shared" si="105"/>
        <v>2025</v>
      </c>
      <c r="B1622" s="5">
        <f t="shared" si="106"/>
        <v>2</v>
      </c>
      <c r="C1622" s="6">
        <v>45667</v>
      </c>
      <c r="D1622" s="7">
        <v>3115</v>
      </c>
    </row>
    <row r="1623" spans="1:4" x14ac:dyDescent="0.25">
      <c r="A1623" s="5">
        <f t="shared" si="105"/>
        <v>2025</v>
      </c>
      <c r="B1623" s="5">
        <f t="shared" si="106"/>
        <v>3</v>
      </c>
      <c r="C1623" s="6">
        <v>45674</v>
      </c>
      <c r="D1623" s="7">
        <v>2892</v>
      </c>
    </row>
    <row r="1624" spans="1:4" x14ac:dyDescent="0.25">
      <c r="A1624" s="5">
        <f t="shared" si="105"/>
        <v>2025</v>
      </c>
      <c r="B1624" s="5">
        <f t="shared" si="106"/>
        <v>4</v>
      </c>
      <c r="C1624" s="6">
        <v>45681</v>
      </c>
      <c r="D1624" s="7">
        <v>2571</v>
      </c>
    </row>
    <row r="1625" spans="1:4" x14ac:dyDescent="0.25">
      <c r="A1625" s="5">
        <f t="shared" si="105"/>
        <v>2025</v>
      </c>
      <c r="B1625" s="5">
        <f t="shared" si="106"/>
        <v>5</v>
      </c>
      <c r="C1625" s="6">
        <v>45688</v>
      </c>
      <c r="D1625" s="7">
        <v>2397</v>
      </c>
    </row>
    <row r="1626" spans="1:4" x14ac:dyDescent="0.25">
      <c r="A1626" s="5">
        <f t="shared" si="105"/>
        <v>2025</v>
      </c>
      <c r="B1626" s="5">
        <f t="shared" si="106"/>
        <v>6</v>
      </c>
      <c r="C1626" s="6">
        <v>45695</v>
      </c>
      <c r="D1626" s="7">
        <v>2297</v>
      </c>
    </row>
    <row r="1627" spans="1:4" x14ac:dyDescent="0.25">
      <c r="A1627" s="5">
        <f t="shared" si="105"/>
        <v>2025</v>
      </c>
      <c r="B1627" s="5">
        <f t="shared" si="106"/>
        <v>7</v>
      </c>
      <c r="C1627" s="6">
        <v>45702</v>
      </c>
      <c r="D1627" s="7">
        <v>2101</v>
      </c>
    </row>
    <row r="1628" spans="1:4" x14ac:dyDescent="0.25">
      <c r="A1628" s="5">
        <f t="shared" si="105"/>
        <v>2025</v>
      </c>
      <c r="B1628" s="5">
        <f t="shared" si="106"/>
        <v>8</v>
      </c>
      <c r="C1628" s="6">
        <v>45709</v>
      </c>
      <c r="D1628" s="7">
        <v>1840</v>
      </c>
    </row>
    <row r="1629" spans="1:4" x14ac:dyDescent="0.25">
      <c r="A1629" s="5">
        <f t="shared" si="105"/>
        <v>2025</v>
      </c>
      <c r="B1629" s="5">
        <f t="shared" si="106"/>
        <v>9</v>
      </c>
      <c r="C1629" s="6">
        <v>45716</v>
      </c>
      <c r="D1629" s="7">
        <v>1760</v>
      </c>
    </row>
    <row r="1630" spans="1:4" x14ac:dyDescent="0.25">
      <c r="A1630" s="5">
        <f t="shared" si="105"/>
        <v>2025</v>
      </c>
      <c r="B1630" s="5">
        <f t="shared" si="106"/>
        <v>10</v>
      </c>
      <c r="C1630" s="6">
        <v>45723</v>
      </c>
      <c r="D1630" s="7">
        <v>1698</v>
      </c>
    </row>
    <row r="1631" spans="1:4" x14ac:dyDescent="0.25">
      <c r="A1631" s="5">
        <f t="shared" si="105"/>
        <v>2025</v>
      </c>
      <c r="B1631" s="5">
        <f t="shared" si="106"/>
        <v>11</v>
      </c>
      <c r="C1631" s="6">
        <v>45730</v>
      </c>
      <c r="D1631" s="7">
        <v>1707</v>
      </c>
    </row>
    <row r="1632" spans="1:4" x14ac:dyDescent="0.25">
      <c r="A1632" s="5">
        <f t="shared" si="105"/>
        <v>2025</v>
      </c>
      <c r="B1632" s="5">
        <f t="shared" si="106"/>
        <v>12</v>
      </c>
      <c r="C1632" s="6">
        <v>45737</v>
      </c>
      <c r="D1632" s="7">
        <v>1744</v>
      </c>
    </row>
    <row r="1633" spans="1:4" x14ac:dyDescent="0.25">
      <c r="A1633" s="5">
        <f t="shared" si="105"/>
        <v>2025</v>
      </c>
      <c r="B1633" s="5">
        <f t="shared" si="106"/>
        <v>13</v>
      </c>
      <c r="C1633" s="6">
        <v>45744</v>
      </c>
      <c r="D1633" s="7">
        <v>1773</v>
      </c>
    </row>
    <row r="1634" spans="1:4" x14ac:dyDescent="0.25">
      <c r="A1634" s="5">
        <f t="shared" si="105"/>
        <v>2025</v>
      </c>
      <c r="B1634" s="5">
        <f t="shared" si="106"/>
        <v>14</v>
      </c>
      <c r="C1634" s="6">
        <v>45751</v>
      </c>
      <c r="D1634" s="7">
        <v>1830</v>
      </c>
    </row>
    <row r="1635" spans="1:4" x14ac:dyDescent="0.25">
      <c r="A1635" s="5">
        <f t="shared" si="105"/>
        <v>2025</v>
      </c>
      <c r="B1635" s="5">
        <f t="shared" si="106"/>
        <v>15</v>
      </c>
      <c r="C1635" s="6">
        <v>45758</v>
      </c>
      <c r="D1635" s="7">
        <v>1846</v>
      </c>
    </row>
    <row r="1636" spans="1:4" x14ac:dyDescent="0.25">
      <c r="A1636" s="5">
        <f t="shared" si="105"/>
        <v>2025</v>
      </c>
      <c r="B1636" s="5">
        <f t="shared" si="106"/>
        <v>16</v>
      </c>
      <c r="C1636" s="6">
        <v>45765</v>
      </c>
      <c r="D1636" s="7">
        <v>1934</v>
      </c>
    </row>
    <row r="1637" spans="1:4" x14ac:dyDescent="0.25">
      <c r="A1637" s="5">
        <f t="shared" si="105"/>
        <v>2025</v>
      </c>
      <c r="B1637" s="5">
        <f t="shared" si="106"/>
        <v>17</v>
      </c>
      <c r="C1637" s="6">
        <v>45772</v>
      </c>
      <c r="D1637" s="7">
        <v>2041</v>
      </c>
    </row>
    <row r="1638" spans="1:4" x14ac:dyDescent="0.25">
      <c r="A1638" s="5">
        <f t="shared" si="105"/>
        <v>2025</v>
      </c>
      <c r="B1638" s="5">
        <f t="shared" si="106"/>
        <v>18</v>
      </c>
      <c r="C1638" s="6">
        <v>45779</v>
      </c>
      <c r="D1638" s="7">
        <v>2145</v>
      </c>
    </row>
    <row r="1639" spans="1:4" x14ac:dyDescent="0.25">
      <c r="A1639" s="5">
        <f t="shared" si="105"/>
        <v>2025</v>
      </c>
      <c r="B1639" s="5">
        <f t="shared" si="106"/>
        <v>19</v>
      </c>
      <c r="C1639" s="6">
        <v>45786</v>
      </c>
      <c r="D1639" s="7">
        <v>2255</v>
      </c>
    </row>
    <row r="1640" spans="1:4" x14ac:dyDescent="0.25">
      <c r="A1640" s="5">
        <f t="shared" si="105"/>
        <v>2025</v>
      </c>
      <c r="B1640" s="5">
        <f t="shared" si="106"/>
        <v>20</v>
      </c>
      <c r="C1640" s="6">
        <v>45793</v>
      </c>
      <c r="D1640" s="7">
        <v>2375</v>
      </c>
    </row>
    <row r="1641" spans="1:4" x14ac:dyDescent="0.25">
      <c r="A1641" s="5">
        <f t="shared" si="105"/>
        <v>2025</v>
      </c>
      <c r="B1641" s="5">
        <f t="shared" si="106"/>
        <v>21</v>
      </c>
      <c r="C1641" s="6">
        <v>45800</v>
      </c>
      <c r="D1641" s="7">
        <v>2476</v>
      </c>
    </row>
    <row r="1642" spans="1:4" x14ac:dyDescent="0.25">
      <c r="A1642" s="5">
        <f t="shared" si="105"/>
        <v>2025</v>
      </c>
      <c r="B1642" s="5">
        <f t="shared" si="106"/>
        <v>22</v>
      </c>
      <c r="C1642" s="6">
        <v>45807</v>
      </c>
      <c r="D1642" s="7">
        <v>2598</v>
      </c>
    </row>
    <row r="1643" spans="1:4" x14ac:dyDescent="0.25">
      <c r="A1643" s="5">
        <f t="shared" si="105"/>
        <v>2025</v>
      </c>
      <c r="B1643" s="5">
        <f t="shared" si="106"/>
        <v>23</v>
      </c>
      <c r="C1643" s="6">
        <v>45814</v>
      </c>
      <c r="D1643" s="7">
        <v>2707</v>
      </c>
    </row>
    <row r="1644" spans="1:4" x14ac:dyDescent="0.25">
      <c r="A1644" s="5">
        <f t="shared" si="105"/>
        <v>2025</v>
      </c>
      <c r="B1644" s="5">
        <f t="shared" si="106"/>
        <v>24</v>
      </c>
      <c r="C1644" s="6">
        <v>45821</v>
      </c>
      <c r="D1644" s="7">
        <v>2802</v>
      </c>
    </row>
    <row r="1645" spans="1:4" x14ac:dyDescent="0.25">
      <c r="A1645" s="5">
        <f t="shared" si="105"/>
        <v>2025</v>
      </c>
      <c r="B1645" s="5">
        <f t="shared" si="106"/>
        <v>25</v>
      </c>
      <c r="C1645" s="6">
        <v>45828</v>
      </c>
      <c r="D1645" s="7">
        <v>2898</v>
      </c>
    </row>
    <row r="1646" spans="1:4" x14ac:dyDescent="0.25">
      <c r="A1646" s="5">
        <f t="shared" si="105"/>
        <v>2025</v>
      </c>
      <c r="B1646" s="5">
        <f t="shared" si="106"/>
        <v>26</v>
      </c>
      <c r="C1646" s="6">
        <v>45835</v>
      </c>
      <c r="D1646" s="7">
        <v>2953</v>
      </c>
    </row>
    <row r="1647" spans="1:4" x14ac:dyDescent="0.25">
      <c r="A1647" s="5">
        <f t="shared" si="105"/>
        <v>2025</v>
      </c>
      <c r="B1647" s="5">
        <f t="shared" si="106"/>
        <v>27</v>
      </c>
      <c r="C1647" s="6">
        <v>45842</v>
      </c>
      <c r="D1647" s="7">
        <v>3006</v>
      </c>
    </row>
    <row r="1648" spans="1:4" x14ac:dyDescent="0.25">
      <c r="A1648" s="5">
        <f t="shared" si="105"/>
        <v>2025</v>
      </c>
      <c r="B1648" s="5">
        <f t="shared" si="106"/>
        <v>28</v>
      </c>
      <c r="C1648" s="6">
        <v>45849</v>
      </c>
      <c r="D1648" s="7">
        <v>3052</v>
      </c>
    </row>
    <row r="1649" spans="1:4" x14ac:dyDescent="0.25">
      <c r="A1649" s="5">
        <f t="shared" si="105"/>
        <v>2025</v>
      </c>
      <c r="B1649" s="5">
        <f t="shared" si="106"/>
        <v>29</v>
      </c>
      <c r="C1649" s="6">
        <v>45856</v>
      </c>
      <c r="D1649" s="7">
        <v>3075</v>
      </c>
    </row>
    <row r="1650" spans="1:4" x14ac:dyDescent="0.25">
      <c r="A1650" s="5">
        <f t="shared" si="105"/>
        <v>2025</v>
      </c>
      <c r="B1650" s="5">
        <f t="shared" si="106"/>
        <v>30</v>
      </c>
      <c r="C1650" s="6">
        <v>45863</v>
      </c>
      <c r="D1650" s="7">
        <v>3123</v>
      </c>
    </row>
    <row r="1651" spans="1:4" x14ac:dyDescent="0.25">
      <c r="A1651" s="5">
        <f t="shared" si="105"/>
        <v>2025</v>
      </c>
      <c r="B1651" s="5">
        <f t="shared" si="106"/>
        <v>31</v>
      </c>
      <c r="C1651" s="6">
        <v>45870</v>
      </c>
      <c r="D1651" s="7">
        <v>3130</v>
      </c>
    </row>
    <row r="1652" spans="1:4" x14ac:dyDescent="0.25">
      <c r="A1652" s="5">
        <f t="shared" si="105"/>
        <v>2025</v>
      </c>
      <c r="B1652" s="5">
        <f t="shared" si="106"/>
        <v>32</v>
      </c>
      <c r="C1652" s="6">
        <v>45877</v>
      </c>
      <c r="D1652" s="7">
        <v>3186</v>
      </c>
    </row>
    <row r="1653" spans="1:4" x14ac:dyDescent="0.25">
      <c r="A1653" s="5">
        <f t="shared" si="105"/>
        <v>2025</v>
      </c>
      <c r="B1653" s="5">
        <f t="shared" si="106"/>
        <v>33</v>
      </c>
      <c r="C1653" s="6">
        <v>45884</v>
      </c>
      <c r="D1653" s="7">
        <v>3199</v>
      </c>
    </row>
    <row r="1654" spans="1:4" x14ac:dyDescent="0.25">
      <c r="A1654" s="5">
        <f t="shared" si="105"/>
        <v>2025</v>
      </c>
      <c r="B1654" s="5">
        <f t="shared" si="106"/>
        <v>34</v>
      </c>
      <c r="C1654" s="6">
        <v>45891</v>
      </c>
      <c r="D1654" s="7">
        <v>3217</v>
      </c>
    </row>
    <row r="1655" spans="1:4" x14ac:dyDescent="0.25">
      <c r="A1655" s="5">
        <f t="shared" si="105"/>
        <v>2025</v>
      </c>
      <c r="B1655" s="5">
        <f t="shared" si="106"/>
        <v>35</v>
      </c>
      <c r="C1655" s="6">
        <v>45898</v>
      </c>
      <c r="D1655" s="7">
        <v>3262</v>
      </c>
    </row>
    <row r="1656" spans="1:4" x14ac:dyDescent="0.25">
      <c r="A1656" s="5">
        <f t="shared" si="105"/>
        <v>2025</v>
      </c>
      <c r="B1656" s="5">
        <f t="shared" si="106"/>
        <v>36</v>
      </c>
      <c r="C1656" s="6">
        <v>45905</v>
      </c>
      <c r="D1656" s="7">
        <v>3333</v>
      </c>
    </row>
    <row r="1657" spans="1:4" x14ac:dyDescent="0.25">
      <c r="A1657" s="5">
        <f t="shared" si="105"/>
        <v>2025</v>
      </c>
      <c r="B1657" s="5">
        <f t="shared" si="106"/>
        <v>37</v>
      </c>
      <c r="C1657" s="6">
        <v>45912</v>
      </c>
      <c r="D1657" s="7">
        <v>3423</v>
      </c>
    </row>
    <row r="1658" spans="1:4" x14ac:dyDescent="0.25">
      <c r="A1658" s="5">
        <f t="shared" si="105"/>
        <v>2025</v>
      </c>
      <c r="B1658" s="5">
        <f t="shared" si="106"/>
        <v>38</v>
      </c>
      <c r="C1658" s="6">
        <v>45919</v>
      </c>
      <c r="D1658" s="7">
        <v>3499</v>
      </c>
    </row>
    <row r="1659" spans="1:4" x14ac:dyDescent="0.25">
      <c r="A1659" s="5">
        <f t="shared" si="105"/>
        <v>2025</v>
      </c>
      <c r="B1659" s="5">
        <f t="shared" si="106"/>
        <v>39</v>
      </c>
      <c r="C1659" s="6">
        <v>45926</v>
      </c>
      <c r="D1659" s="7">
        <v>3551</v>
      </c>
    </row>
    <row r="1660" spans="1:4" x14ac:dyDescent="0.25">
      <c r="A1660" s="5">
        <f t="shared" si="105"/>
        <v>2025</v>
      </c>
      <c r="B1660" s="5">
        <f t="shared" si="106"/>
        <v>40</v>
      </c>
      <c r="C1660" s="6">
        <v>45933</v>
      </c>
      <c r="D1660" s="7">
        <v>3631</v>
      </c>
    </row>
    <row r="1661" spans="1:4" x14ac:dyDescent="0.25">
      <c r="A1661" s="5">
        <f t="shared" ref="A1661:A1711" si="107">YEAR(C1661)</f>
        <v>2025</v>
      </c>
      <c r="B1661" s="5">
        <f t="shared" ref="B1661:B1711" si="108">WEEKNUM(C1661)</f>
        <v>41</v>
      </c>
      <c r="C1661" s="6">
        <v>45940</v>
      </c>
      <c r="D1661" s="7">
        <v>3712</v>
      </c>
    </row>
    <row r="1662" spans="1:4" x14ac:dyDescent="0.25">
      <c r="A1662" s="5">
        <f t="shared" si="107"/>
        <v>2025</v>
      </c>
      <c r="B1662" s="5">
        <f t="shared" si="108"/>
        <v>42</v>
      </c>
      <c r="C1662" s="6">
        <v>45947</v>
      </c>
      <c r="D1662" s="7">
        <v>3798</v>
      </c>
    </row>
    <row r="1663" spans="1:4" x14ac:dyDescent="0.25">
      <c r="A1663" s="5">
        <f t="shared" si="107"/>
        <v>2025</v>
      </c>
      <c r="B1663" s="5">
        <f t="shared" si="108"/>
        <v>43</v>
      </c>
      <c r="C1663" s="6">
        <v>45954</v>
      </c>
      <c r="D1663" s="7">
        <v>3872</v>
      </c>
    </row>
    <row r="1664" spans="1:4" x14ac:dyDescent="0.25">
      <c r="A1664" s="5">
        <f t="shared" si="107"/>
        <v>2025</v>
      </c>
      <c r="B1664" s="5">
        <f t="shared" si="108"/>
        <v>44</v>
      </c>
      <c r="C1664" s="6">
        <v>45961</v>
      </c>
      <c r="D1664" s="7">
        <v>3905</v>
      </c>
    </row>
    <row r="1665" spans="1:4" x14ac:dyDescent="0.25">
      <c r="A1665" s="5">
        <f t="shared" si="107"/>
        <v>2025</v>
      </c>
      <c r="B1665" s="5">
        <f t="shared" si="108"/>
        <v>45</v>
      </c>
      <c r="C1665" s="6">
        <v>45968</v>
      </c>
      <c r="D1665" s="7">
        <v>3950</v>
      </c>
    </row>
    <row r="1666" spans="1:4" x14ac:dyDescent="0.25">
      <c r="A1666" s="5">
        <f t="shared" si="107"/>
        <v>2025</v>
      </c>
      <c r="B1666" s="5">
        <f t="shared" si="108"/>
        <v>46</v>
      </c>
      <c r="C1666" s="6">
        <v>45975</v>
      </c>
      <c r="D1666" s="7">
        <v>3936</v>
      </c>
    </row>
    <row r="1667" spans="1:4" x14ac:dyDescent="0.25">
      <c r="A1667" s="5">
        <f t="shared" si="107"/>
        <v>2025</v>
      </c>
      <c r="B1667" s="5">
        <f t="shared" si="108"/>
        <v>47</v>
      </c>
      <c r="C1667" s="6">
        <v>45982</v>
      </c>
      <c r="D1667" s="7">
        <v>3924</v>
      </c>
    </row>
    <row r="1668" spans="1:4" x14ac:dyDescent="0.25">
      <c r="A1668" s="5">
        <f t="shared" si="107"/>
        <v>2025</v>
      </c>
      <c r="B1668" s="5">
        <f t="shared" si="108"/>
        <v>48</v>
      </c>
      <c r="C1668" s="6">
        <v>45989</v>
      </c>
      <c r="D1668" s="7">
        <v>3913</v>
      </c>
    </row>
    <row r="1669" spans="1:4" x14ac:dyDescent="0.25">
      <c r="A1669" s="5">
        <f t="shared" si="107"/>
        <v>2025</v>
      </c>
      <c r="B1669" s="5">
        <f t="shared" si="108"/>
        <v>49</v>
      </c>
      <c r="C1669" s="6">
        <v>45996</v>
      </c>
      <c r="D1669" s="7">
        <v>3735</v>
      </c>
    </row>
    <row r="1670" spans="1:4" x14ac:dyDescent="0.25">
      <c r="A1670" s="5">
        <f t="shared" si="107"/>
        <v>2025</v>
      </c>
      <c r="B1670" s="5">
        <f t="shared" si="108"/>
        <v>50</v>
      </c>
      <c r="C1670" s="6">
        <v>46003</v>
      </c>
      <c r="D1670" s="7">
        <v>3569</v>
      </c>
    </row>
    <row r="1671" spans="1:4" x14ac:dyDescent="0.25">
      <c r="A1671" s="5">
        <f t="shared" si="107"/>
        <v>2025</v>
      </c>
      <c r="B1671" s="5">
        <f t="shared" si="108"/>
        <v>51</v>
      </c>
      <c r="C1671" s="6">
        <v>46010</v>
      </c>
      <c r="D1671" s="7">
        <v>3401</v>
      </c>
    </row>
    <row r="1672" spans="1:4" x14ac:dyDescent="0.25">
      <c r="A1672" s="5">
        <f t="shared" si="107"/>
        <v>2025</v>
      </c>
      <c r="B1672" s="5">
        <f t="shared" si="108"/>
        <v>52</v>
      </c>
      <c r="C1672" s="6">
        <v>46017</v>
      </c>
      <c r="D1672" s="7">
        <v>3364</v>
      </c>
    </row>
    <row r="1673" spans="1:4" x14ac:dyDescent="0.25">
      <c r="A1673" s="5">
        <f t="shared" si="107"/>
        <v>2026</v>
      </c>
      <c r="B1673" s="5">
        <f t="shared" si="108"/>
        <v>1</v>
      </c>
      <c r="C1673" s="6">
        <v>46024</v>
      </c>
      <c r="D1673" s="7">
        <v>3244</v>
      </c>
    </row>
    <row r="1674" spans="1:4" x14ac:dyDescent="0.25">
      <c r="A1674" s="5">
        <f t="shared" si="107"/>
        <v>2026</v>
      </c>
      <c r="B1674" s="5">
        <f t="shared" si="108"/>
        <v>2</v>
      </c>
      <c r="C1674" s="6">
        <v>46031</v>
      </c>
      <c r="D1674" s="7">
        <v>3174</v>
      </c>
    </row>
    <row r="1675" spans="1:4" x14ac:dyDescent="0.25">
      <c r="A1675" s="5">
        <f t="shared" si="107"/>
        <v>2026</v>
      </c>
      <c r="B1675" s="5">
        <f t="shared" si="108"/>
        <v>3</v>
      </c>
      <c r="C1675" s="6">
        <v>46038</v>
      </c>
      <c r="D1675" s="7">
        <v>3054</v>
      </c>
    </row>
    <row r="1676" spans="1:4" x14ac:dyDescent="0.25">
      <c r="A1676" s="5">
        <f t="shared" si="107"/>
        <v>2026</v>
      </c>
      <c r="B1676" s="5">
        <f t="shared" si="108"/>
        <v>4</v>
      </c>
      <c r="C1676" s="6">
        <v>46045</v>
      </c>
      <c r="D1676" s="7">
        <v>2813</v>
      </c>
    </row>
    <row r="1677" spans="1:4" x14ac:dyDescent="0.25">
      <c r="A1677" s="5">
        <f t="shared" si="107"/>
        <v>2026</v>
      </c>
      <c r="B1677" s="5">
        <f t="shared" si="108"/>
        <v>5</v>
      </c>
      <c r="C1677" s="6">
        <v>46052</v>
      </c>
      <c r="D1677" s="7">
        <v>2454</v>
      </c>
    </row>
    <row r="1678" spans="1:4" x14ac:dyDescent="0.25">
      <c r="A1678" s="5">
        <f t="shared" si="107"/>
        <v>2026</v>
      </c>
      <c r="B1678" s="5">
        <f t="shared" si="108"/>
        <v>6</v>
      </c>
      <c r="C1678" s="6">
        <v>46059</v>
      </c>
      <c r="D1678" s="7">
        <v>2202</v>
      </c>
    </row>
    <row r="1679" spans="1:4" x14ac:dyDescent="0.25">
      <c r="A1679" s="5">
        <f t="shared" si="107"/>
        <v>2026</v>
      </c>
      <c r="B1679" s="5">
        <f t="shared" si="108"/>
        <v>7</v>
      </c>
      <c r="C1679" s="6">
        <v>46066</v>
      </c>
      <c r="D1679" s="7">
        <v>2059</v>
      </c>
    </row>
    <row r="1680" spans="1:4" x14ac:dyDescent="0.25">
      <c r="A1680" s="5">
        <f t="shared" si="107"/>
        <v>2026</v>
      </c>
      <c r="B1680" s="5">
        <f t="shared" si="108"/>
        <v>8</v>
      </c>
      <c r="C1680" s="6">
        <v>46073</v>
      </c>
      <c r="D1680" s="7">
        <v>2007</v>
      </c>
    </row>
    <row r="1681" spans="1:4" x14ac:dyDescent="0.25">
      <c r="A1681" s="5">
        <f t="shared" si="107"/>
        <v>2026</v>
      </c>
      <c r="B1681" s="5">
        <f t="shared" si="108"/>
        <v>9</v>
      </c>
      <c r="C1681" s="6">
        <v>46080</v>
      </c>
      <c r="D1681" s="7">
        <v>1876</v>
      </c>
    </row>
    <row r="1682" spans="1:4" x14ac:dyDescent="0.25">
      <c r="A1682" s="5">
        <f t="shared" si="107"/>
        <v>2026</v>
      </c>
      <c r="B1682" s="5">
        <f t="shared" si="108"/>
        <v>10</v>
      </c>
      <c r="C1682" s="6">
        <v>46087</v>
      </c>
      <c r="D1682" s="7">
        <v>1838</v>
      </c>
    </row>
    <row r="1683" spans="1:4" x14ac:dyDescent="0.25">
      <c r="A1683" s="5">
        <f t="shared" si="107"/>
        <v>2026</v>
      </c>
      <c r="B1683" s="5">
        <f t="shared" si="108"/>
        <v>11</v>
      </c>
      <c r="C1683" s="6">
        <v>46094</v>
      </c>
      <c r="D1683" s="7">
        <v>1872</v>
      </c>
    </row>
    <row r="1684" spans="1:4" x14ac:dyDescent="0.25">
      <c r="A1684" s="5">
        <f t="shared" si="107"/>
        <v>2026</v>
      </c>
      <c r="B1684" s="5">
        <f t="shared" si="108"/>
        <v>12</v>
      </c>
      <c r="C1684" s="6">
        <v>46101</v>
      </c>
      <c r="D1684" s="7">
        <v>1818</v>
      </c>
    </row>
    <row r="1685" spans="1:4" x14ac:dyDescent="0.25">
      <c r="A1685" s="5">
        <f t="shared" si="107"/>
        <v>2026</v>
      </c>
      <c r="B1685" s="5">
        <f t="shared" si="108"/>
        <v>13</v>
      </c>
      <c r="C1685" s="6">
        <v>46108</v>
      </c>
      <c r="D1685" s="7">
        <v>1851</v>
      </c>
    </row>
    <row r="1686" spans="1:4" x14ac:dyDescent="0.25">
      <c r="A1686" s="5">
        <f t="shared" si="107"/>
        <v>2026</v>
      </c>
      <c r="B1686" s="5">
        <f t="shared" si="108"/>
        <v>14</v>
      </c>
      <c r="C1686" s="6">
        <v>46115</v>
      </c>
      <c r="D1686" s="7">
        <v>1900</v>
      </c>
    </row>
    <row r="1687" spans="1:4" x14ac:dyDescent="0.25">
      <c r="A1687" s="5">
        <f t="shared" si="107"/>
        <v>2026</v>
      </c>
      <c r="B1687" s="5">
        <f t="shared" si="108"/>
        <v>15</v>
      </c>
      <c r="C1687" s="6">
        <v>46122</v>
      </c>
      <c r="D1687" s="7">
        <v>1960</v>
      </c>
    </row>
    <row r="1688" spans="1:4" x14ac:dyDescent="0.25">
      <c r="A1688" s="5">
        <f t="shared" si="107"/>
        <v>2026</v>
      </c>
      <c r="B1688" s="5">
        <f t="shared" si="108"/>
        <v>16</v>
      </c>
      <c r="C1688" s="6">
        <v>46129</v>
      </c>
      <c r="D1688" s="7">
        <v>2063</v>
      </c>
    </row>
    <row r="1689" spans="1:4" x14ac:dyDescent="0.25">
      <c r="A1689" s="5">
        <f t="shared" si="107"/>
        <v>2026</v>
      </c>
      <c r="B1689" s="5">
        <f t="shared" si="108"/>
        <v>17</v>
      </c>
      <c r="C1689" s="6">
        <v>46136</v>
      </c>
      <c r="D1689" s="7">
        <v>2142</v>
      </c>
    </row>
    <row r="1690" spans="1:4" x14ac:dyDescent="0.25">
      <c r="A1690" s="5">
        <f t="shared" si="107"/>
        <v>2026</v>
      </c>
      <c r="B1690" s="5">
        <f t="shared" si="108"/>
        <v>18</v>
      </c>
      <c r="C1690" s="6">
        <v>46143</v>
      </c>
      <c r="D1690" s="7">
        <v>2205</v>
      </c>
    </row>
    <row r="1691" spans="1:4" x14ac:dyDescent="0.25">
      <c r="A1691" s="5">
        <f t="shared" si="107"/>
        <v>2026</v>
      </c>
      <c r="B1691" s="5">
        <f t="shared" si="108"/>
        <v>19</v>
      </c>
      <c r="C1691" s="6">
        <v>46150</v>
      </c>
      <c r="D1691" s="7">
        <v>2290</v>
      </c>
    </row>
    <row r="1692" spans="1:4" x14ac:dyDescent="0.25">
      <c r="A1692" s="5">
        <f t="shared" si="107"/>
        <v>2026</v>
      </c>
      <c r="B1692" s="5">
        <f t="shared" si="108"/>
        <v>20</v>
      </c>
      <c r="C1692" s="6">
        <v>46157</v>
      </c>
      <c r="D1692" s="7">
        <v>2391</v>
      </c>
    </row>
    <row r="1693" spans="1:4" x14ac:dyDescent="0.25">
      <c r="A1693" s="5">
        <f t="shared" si="107"/>
        <v>2026</v>
      </c>
      <c r="B1693" s="5">
        <f t="shared" si="108"/>
        <v>21</v>
      </c>
      <c r="C1693" s="6">
        <v>46164</v>
      </c>
      <c r="D1693" s="7">
        <v>2483</v>
      </c>
    </row>
    <row r="1694" spans="1:4" x14ac:dyDescent="0.25">
      <c r="A1694" s="5">
        <f t="shared" si="107"/>
        <v>2026</v>
      </c>
      <c r="B1694" s="5">
        <f t="shared" si="108"/>
        <v>22</v>
      </c>
      <c r="C1694" s="6">
        <v>46171</v>
      </c>
      <c r="D1694" s="7">
        <v>2578</v>
      </c>
    </row>
    <row r="1695" spans="1:4" x14ac:dyDescent="0.25">
      <c r="A1695" s="5">
        <f t="shared" si="107"/>
        <v>2026</v>
      </c>
      <c r="B1695" s="5">
        <f t="shared" si="108"/>
        <v>23</v>
      </c>
      <c r="C1695" s="6">
        <v>46178</v>
      </c>
      <c r="D1695" s="7">
        <v>2686</v>
      </c>
    </row>
    <row r="1696" spans="1:4" x14ac:dyDescent="0.25">
      <c r="A1696" s="5">
        <f t="shared" si="107"/>
        <v>2026</v>
      </c>
      <c r="B1696" s="5">
        <f t="shared" si="108"/>
        <v>24</v>
      </c>
      <c r="C1696" s="6">
        <v>46185</v>
      </c>
      <c r="D1696" s="7">
        <v>2759</v>
      </c>
    </row>
    <row r="1697" spans="1:4" x14ac:dyDescent="0.25">
      <c r="A1697" s="5">
        <f t="shared" si="107"/>
        <v>2026</v>
      </c>
      <c r="B1697" s="5">
        <f t="shared" si="108"/>
        <v>25</v>
      </c>
      <c r="C1697" s="6">
        <v>46192</v>
      </c>
      <c r="D1697" s="7">
        <v>2835</v>
      </c>
    </row>
    <row r="1698" spans="1:4" x14ac:dyDescent="0.25">
      <c r="A1698" s="5">
        <f t="shared" si="107"/>
        <v>2026</v>
      </c>
      <c r="B1698" s="5">
        <f t="shared" si="108"/>
        <v>26</v>
      </c>
      <c r="C1698" s="6">
        <v>46199</v>
      </c>
      <c r="D1698" s="7">
        <v>2922</v>
      </c>
    </row>
    <row r="1699" spans="1:4" x14ac:dyDescent="0.25">
      <c r="A1699" s="5">
        <f t="shared" si="107"/>
        <v>2026</v>
      </c>
      <c r="B1699" s="5">
        <f t="shared" si="108"/>
        <v>27</v>
      </c>
      <c r="C1699" s="6">
        <v>46206</v>
      </c>
      <c r="D1699" s="7">
        <v>2983</v>
      </c>
    </row>
    <row r="1700" spans="1:4" x14ac:dyDescent="0.25">
      <c r="A1700" s="5">
        <f t="shared" si="107"/>
        <v>2026</v>
      </c>
      <c r="B1700" s="5">
        <f t="shared" si="108"/>
        <v>28</v>
      </c>
      <c r="C1700" s="6">
        <v>46213</v>
      </c>
      <c r="D1700" s="7">
        <v>3024</v>
      </c>
    </row>
    <row r="1701" spans="1:4" x14ac:dyDescent="0.25">
      <c r="A1701" s="5">
        <f t="shared" si="107"/>
        <v>2026</v>
      </c>
      <c r="B1701" s="5">
        <f t="shared" si="108"/>
        <v>29</v>
      </c>
      <c r="C1701" s="6">
        <v>46220</v>
      </c>
      <c r="D1701" s="7">
        <v>3056</v>
      </c>
    </row>
    <row r="1702" spans="1:4" x14ac:dyDescent="0.25">
      <c r="A1702" s="5">
        <f t="shared" si="107"/>
        <v>2026</v>
      </c>
      <c r="B1702" s="5">
        <f t="shared" si="108"/>
        <v>30</v>
      </c>
      <c r="C1702" s="6">
        <v>46227</v>
      </c>
      <c r="D1702" s="7">
        <v>3084</v>
      </c>
    </row>
    <row r="1703" spans="1:4" x14ac:dyDescent="0.25">
      <c r="A1703" s="5">
        <f t="shared" si="107"/>
        <v>2026</v>
      </c>
      <c r="B1703" s="5">
        <f t="shared" si="108"/>
        <v>31</v>
      </c>
      <c r="C1703" s="6">
        <v>46234</v>
      </c>
      <c r="D1703" s="7">
        <v>3117</v>
      </c>
    </row>
    <row r="1704" spans="1:4" x14ac:dyDescent="0.25">
      <c r="A1704" s="5">
        <f t="shared" si="107"/>
        <v>2026</v>
      </c>
      <c r="B1704" s="5">
        <f t="shared" si="108"/>
        <v>32</v>
      </c>
      <c r="C1704" s="6">
        <v>46241</v>
      </c>
      <c r="D1704" s="7">
        <v>3153</v>
      </c>
    </row>
    <row r="1705" spans="1:4" x14ac:dyDescent="0.25">
      <c r="A1705" s="5">
        <f t="shared" si="107"/>
        <v>2026</v>
      </c>
      <c r="B1705" s="5">
        <f t="shared" si="108"/>
        <v>33</v>
      </c>
      <c r="C1705" s="6">
        <v>46248</v>
      </c>
      <c r="D1705" s="7">
        <v>3169</v>
      </c>
    </row>
    <row r="1706" spans="1:4" x14ac:dyDescent="0.25">
      <c r="A1706" s="5">
        <f t="shared" si="107"/>
        <v>2026</v>
      </c>
      <c r="B1706" s="5">
        <f t="shared" si="108"/>
        <v>34</v>
      </c>
      <c r="C1706" s="6">
        <v>46255</v>
      </c>
      <c r="D1706" s="7">
        <v>3184</v>
      </c>
    </row>
    <row r="1707" spans="1:4" x14ac:dyDescent="0.25">
      <c r="A1707" s="5">
        <f t="shared" si="107"/>
        <v>2026</v>
      </c>
      <c r="B1707" s="5">
        <f t="shared" si="108"/>
        <v>35</v>
      </c>
      <c r="C1707" s="6">
        <v>46262</v>
      </c>
      <c r="D1707" s="7">
        <v>3214</v>
      </c>
    </row>
    <row r="1708" spans="1:4" x14ac:dyDescent="0.25">
      <c r="A1708" s="5">
        <f t="shared" si="107"/>
        <v>2026</v>
      </c>
      <c r="B1708" s="5">
        <f t="shared" si="108"/>
        <v>36</v>
      </c>
      <c r="C1708" s="6">
        <v>46269</v>
      </c>
      <c r="D1708" s="7">
        <v>3254</v>
      </c>
    </row>
    <row r="1709" spans="1:4" x14ac:dyDescent="0.25">
      <c r="A1709" s="5">
        <f t="shared" si="107"/>
        <v>2026</v>
      </c>
      <c r="B1709" s="5">
        <f t="shared" si="108"/>
        <v>37</v>
      </c>
      <c r="C1709" s="6">
        <v>46276</v>
      </c>
      <c r="D1709" s="7">
        <v>3298</v>
      </c>
    </row>
    <row r="1710" spans="1:4" x14ac:dyDescent="0.25">
      <c r="A1710" s="5">
        <f t="shared" si="107"/>
        <v>2026</v>
      </c>
      <c r="B1710" s="5">
        <f t="shared" si="108"/>
        <v>38</v>
      </c>
      <c r="C1710" s="6">
        <v>46283</v>
      </c>
      <c r="D1710" s="7">
        <v>3351</v>
      </c>
    </row>
    <row r="1711" spans="1:4" x14ac:dyDescent="0.25">
      <c r="A1711" s="5">
        <f t="shared" si="107"/>
        <v>2026</v>
      </c>
      <c r="B1711" s="5">
        <f t="shared" si="108"/>
        <v>39</v>
      </c>
      <c r="C1711" s="6">
        <v>46290</v>
      </c>
      <c r="D1711" s="7">
        <v>3415</v>
      </c>
    </row>
  </sheetData>
  <conditionalFormatting sqref="J61:AM11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Veljko Perović</dc:creator>
  <cp:lastModifiedBy>Veljko Perovic</cp:lastModifiedBy>
  <dcterms:created xsi:type="dcterms:W3CDTF">2015-06-05T18:17:20Z</dcterms:created>
  <dcterms:modified xsi:type="dcterms:W3CDTF">2026-10-08T15:39:13Z</dcterms:modified>
</cp:coreProperties>
</file>